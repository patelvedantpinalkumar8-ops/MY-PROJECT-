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a0cdbb97cf3f763/Desktop/"/>
    </mc:Choice>
  </mc:AlternateContent>
  <xr:revisionPtr revIDLastSave="3" documentId="11_6AEC6EF87647D690F94AD955C08521934A879726" xr6:coauthVersionLast="47" xr6:coauthVersionMax="47" xr10:uidLastSave="{2EE408B9-5770-4968-92EC-975E9EDC21DB}"/>
  <bookViews>
    <workbookView xWindow="-110" yWindow="-110" windowWidth="19420" windowHeight="10300" tabRatio="500" xr2:uid="{00000000-000D-0000-FFFF-FFFF00000000}"/>
  </bookViews>
  <sheets>
    <sheet name="Dashboard" sheetId="1" r:id="rId1"/>
    <sheet name="Yearly Trend &amp; Growth" sheetId="2" r:id="rId2"/>
    <sheet name="Monthly Analysis" sheetId="3" r:id="rId3"/>
    <sheet name="Volatility &amp; Spreads" sheetId="4" r:id="rId4"/>
    <sheet name="Moving Averages" sheetId="5" r:id="rId5"/>
    <sheet name="Volume &amp; Correlation" sheetId="6" r:id="rId6"/>
    <sheet name="Rallies &amp; Corrections" sheetId="7" r:id="rId7"/>
    <sheet name="Notes &amp; Methodology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<sst xmlns="http://schemas.openxmlformats.org/spreadsheetml/2006/main" count="378" uniqueCount="303">
  <si>
    <t>ADANI POWER LTD  |  STOCK PRICE ANALYSIS DASHBOARD</t>
  </si>
  <si>
    <t>Data period: Feb 2015 – Apr 2026   |   Source: MySQL query exports, analyzed in Excel</t>
  </si>
  <si>
    <t>First Close (Feb 2015)</t>
  </si>
  <si>
    <t>Last Close (Apr 2026)</t>
  </si>
  <si>
    <t>Overall Change</t>
  </si>
  <si>
    <t>Best Growth Year</t>
  </si>
  <si>
    <t>Highest Avg Close Year</t>
  </si>
  <si>
    <t>₹10.45</t>
  </si>
  <si>
    <t>₹169.50</t>
  </si>
  <si>
    <t>1,522.0%</t>
  </si>
  <si>
    <t>2022 (+198.5%)</t>
  </si>
  <si>
    <t>2026 (₹145.71)</t>
  </si>
  <si>
    <t>Year</t>
  </si>
  <si>
    <t>First Close</t>
  </si>
  <si>
    <t>Last Close</t>
  </si>
  <si>
    <t>YoY % Change</t>
  </si>
  <si>
    <t>Avg Close</t>
  </si>
  <si>
    <t>Avg Daily Range</t>
  </si>
  <si>
    <t>1-3, 13-14 | YEARLY PRICE TREND, GROWTH &amp; OPEN/CLOSE</t>
  </si>
  <si>
    <t>Answers: overall trend, best year, strongest growth, first/last close, overall % change</t>
  </si>
  <si>
    <t>Yearly Trading Range &amp; Price Movement</t>
  </si>
  <si>
    <t>Period Start</t>
  </si>
  <si>
    <t>Period End</t>
  </si>
  <si>
    <t>Abs. Price Change (₹)</t>
  </si>
  <si>
    <t>Price Change (%)</t>
  </si>
  <si>
    <t>2015-02-02 09:15:00</t>
  </si>
  <si>
    <t>2015-12-31 15:25:00</t>
  </si>
  <si>
    <t>2016-01-04 09:15:00</t>
  </si>
  <si>
    <t>2016-12-30 15:25:00</t>
  </si>
  <si>
    <t>2017-01-02 09:15:00</t>
  </si>
  <si>
    <t>2017-12-29 15:25:00</t>
  </si>
  <si>
    <t>2018-01-01 09:15:00</t>
  </si>
  <si>
    <t>2018-12-31 15:25:00</t>
  </si>
  <si>
    <t>2019-01-01 09:15:00</t>
  </si>
  <si>
    <t>2019-12-31 15:25:00</t>
  </si>
  <si>
    <t>2020-01-01 09:15:00</t>
  </si>
  <si>
    <t>2020-12-31 15:25:00</t>
  </si>
  <si>
    <t>2021-01-01 09:15:00</t>
  </si>
  <si>
    <t>2021-12-31 15:25:00</t>
  </si>
  <si>
    <t>2022-01-03 09:15:00</t>
  </si>
  <si>
    <t>2022-12-30 15:25:00</t>
  </si>
  <si>
    <t>2023-01-02 09:15:00</t>
  </si>
  <si>
    <t>2023-12-29 15:25:00</t>
  </si>
  <si>
    <t>2024-01-01 09:15:00</t>
  </si>
  <si>
    <t>2024-12-31 15:25:00</t>
  </si>
  <si>
    <t>2025-01-01 09:15:00</t>
  </si>
  <si>
    <t>2025-12-31 15:25:00</t>
  </si>
  <si>
    <t>2026-04-09 11:45:00</t>
  </si>
  <si>
    <t>First Close vs Last Close &amp; Overall % Change per Year</t>
  </si>
  <si>
    <t>Strongest growth year: 2022  (+198.5%)</t>
  </si>
  <si>
    <t>First Close (₹)</t>
  </si>
  <si>
    <t>Last Close (₹)</t>
  </si>
  <si>
    <t>% Change</t>
  </si>
  <si>
    <t>Weakest / decline year: 2015  (-39.2%)</t>
  </si>
  <si>
    <t>Full-period change: ₹10.45 → ₹169.5  (1522.0%)</t>
  </si>
  <si>
    <t>4-6 | MONTHLY AVERAGE CLOSE, TOP MONTHS &amp; VOLUME</t>
  </si>
  <si>
    <t>Answers: monthly avg close over full period, month with highest avg price, month with highest volume</t>
  </si>
  <si>
    <t>Overall Average Closing Price by Calendar Month (2015–2026)</t>
  </si>
  <si>
    <t>Calendar Month</t>
  </si>
  <si>
    <t>Overall Avg Close (₹)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</si>
  <si>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</si>
  <si>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</si>
  <si>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</si>
  <si>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</si>
  <si>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</si>
  <si>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</si>
  <si>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</si>
  <si>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</si>
  <si>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</si>
  <si>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</si>
  <si>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</si>
  <si>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</si>
  <si>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10 Months by Highest Average Price</t>
  </si>
  <si>
    <t>Peak month: Apr-2026  (₹162.10)</t>
  </si>
  <si>
    <t>Month</t>
  </si>
  <si>
    <t>Highest Avg Price (₹)</t>
  </si>
  <si>
    <t>Apr-2026</t>
  </si>
  <si>
    <t>Oct-2025</t>
  </si>
  <si>
    <t>Nov-2025</t>
  </si>
  <si>
    <t>Jun-2024</t>
  </si>
  <si>
    <t>Mar-2026</t>
  </si>
  <si>
    <t>Feb-2026</t>
  </si>
  <si>
    <t>Dec-2025</t>
  </si>
  <si>
    <t>Jul-2024</t>
  </si>
  <si>
    <t>Jan-2026</t>
  </si>
  <si>
    <t>Aug-2024</t>
  </si>
  <si>
    <t>Total Trading Volume by Calendar Month (2015–2026)</t>
  </si>
  <si>
    <t>Total Volume (Shares)</t>
  </si>
  <si>
    <t>Top 5 Single Months by Trading Volume</t>
  </si>
  <si>
    <t>Total Volume</t>
  </si>
  <si>
    <t>Feb-2022</t>
  </si>
  <si>
    <t>Mar-2022</t>
  </si>
  <si>
    <t>Jul-2018</t>
  </si>
  <si>
    <t>Aug-2018</t>
  </si>
  <si>
    <t>Apr-2022</t>
  </si>
  <si>
    <t>7-8 | VOLATILITY &amp; INTRADAY HIGH-LOW SPREADS</t>
  </si>
  <si>
    <t>Answers: highest volatility year, biggest intraday high-low spread</t>
  </si>
  <si>
    <t>Average Daily Trading Range by Year (Volatility Proxy)</t>
  </si>
  <si>
    <t>Most volatile year: 2024  (avg range ₹0.47)</t>
  </si>
  <si>
    <t>Avg Daily Range (₹)</t>
  </si>
  <si>
    <t>Top 10 Biggest Intraday High-Low Spreads</t>
  </si>
  <si>
    <t>Biggest single spread: ₹21.55 on 2024-06-05 09:15:00</t>
  </si>
  <si>
    <t>Date</t>
  </si>
  <si>
    <t>Open</t>
  </si>
  <si>
    <t>High</t>
  </si>
  <si>
    <t>Low</t>
  </si>
  <si>
    <t>Close</t>
  </si>
  <si>
    <t>Intraday Spread (₹)</t>
  </si>
  <si>
    <t>2024-06-05 09:15:00</t>
  </si>
  <si>
    <t>2025-09-22 09:15:00</t>
  </si>
  <si>
    <t>2025-09-23 09:15:00</t>
  </si>
  <si>
    <t>2024-06-04 09:15:00</t>
  </si>
  <si>
    <t>2024-06-04 11:05:00</t>
  </si>
  <si>
    <t>2024-08-12 09:15:00</t>
  </si>
  <si>
    <t>2023-12-06 09:15:00</t>
  </si>
  <si>
    <t>2025-10-03 09:15:00</t>
  </si>
  <si>
    <t>2024-06-03 09:15:00</t>
  </si>
  <si>
    <t>2024-06-05 09:25:00</t>
  </si>
  <si>
    <t>9-10 | 20-DAY MOVING AVERAGE BEHAVIOR &amp; CROSSOVERS</t>
  </si>
  <si>
    <t>Note: source export contains MA20 crossover events only (no continuous MA50 series was provided in the MySQL export)</t>
  </si>
  <si>
    <t>MA20 Crossover Frequency by Year</t>
  </si>
  <si>
    <t>More crossovers = choppier, more volatile trading (whipsaw); fewer = smoother trend.</t>
  </si>
  <si>
    <t>Crossed Above MA20</t>
  </si>
  <si>
    <t>Crossed Below MA20</t>
  </si>
  <si>
    <t>Total Crossovers</t>
  </si>
  <si>
    <t>Top 15 Crossovers by Distance from MA20 (Sharpest Trend Reversals)</t>
  </si>
  <si>
    <t>Close (₹)</t>
  </si>
  <si>
    <t>MA20 (₹)</t>
  </si>
  <si>
    <t>Cross Type</t>
  </si>
  <si>
    <t>Crossed above MA20</t>
  </si>
  <si>
    <t>2025-04-07 09:15:00</t>
  </si>
  <si>
    <t>Crossed below MA20</t>
  </si>
  <si>
    <t>2025-01-14 09:15:00</t>
  </si>
  <si>
    <t>2024-01-03 09:15:00</t>
  </si>
  <si>
    <t>2025-01-16 09:15:00</t>
  </si>
  <si>
    <t>2023-12-04 09:15:00</t>
  </si>
  <si>
    <t>2024-04-15 09:15:00</t>
  </si>
  <si>
    <t>2026-04-01 09:15:00</t>
  </si>
  <si>
    <t>2025-09-24 09:15:00</t>
  </si>
  <si>
    <t>2024-09-16 09:15:00</t>
  </si>
  <si>
    <t>2026-04-02 09:15:00</t>
  </si>
  <si>
    <t>2024-11-13 09:15:00</t>
  </si>
  <si>
    <t>2026-02-13 09:15:00</t>
  </si>
  <si>
    <t>2025-09-25 09:15:00</t>
  </si>
  <si>
    <t>11-12 | TOP VOLUME DAYS &amp; PRICE-VOLUME CORRELATION</t>
  </si>
  <si>
    <t>Answers: highest-volume trading days, correlation between price movement and volume spikes</t>
  </si>
  <si>
    <t>Top 15 Highest Trading Volume Days</t>
  </si>
  <si>
    <t>2022-03-29</t>
  </si>
  <si>
    <t>2021-06-08</t>
  </si>
  <si>
    <t>2021-06-09</t>
  </si>
  <si>
    <t>2022-04-04</t>
  </si>
  <si>
    <t>2022-04-01</t>
  </si>
  <si>
    <t>2022-03-31</t>
  </si>
  <si>
    <t>2022-02-16</t>
  </si>
  <si>
    <t>2022-03-30</t>
  </si>
  <si>
    <t>2020-12-04</t>
  </si>
  <si>
    <t>2019-07-02</t>
  </si>
  <si>
    <t>2017-04-11</t>
  </si>
  <si>
    <t>2022-02-17</t>
  </si>
  <si>
    <t>2018-07-11</t>
  </si>
  <si>
    <t>2023-02-07</t>
  </si>
  <si>
    <t>2016-10-27</t>
  </si>
  <si>
    <t>Price Movement vs Volume — Correlation Summary (Daily Aggregated)</t>
  </si>
  <si>
    <t>Metric Pair</t>
  </si>
  <si>
    <t>Correlation Coefficient (r)</t>
  </si>
  <si>
    <t>Daily Avg |% Price Change|  vs  Daily Total Volume</t>
  </si>
  <si>
    <t>Daily Avg |% Price Change|  vs  Daily Volume-Spike Total</t>
  </si>
  <si>
    <t>Interpretation: r ≈ 0.56 indicates a moderate positive relationship — bigger price moves tend to happen on higher-volume days, consistent with volume spikes accompanying volatility.</t>
  </si>
  <si>
    <t>Daily Volume vs Avg |% Price Change| — Sample Scatter Data</t>
  </si>
  <si>
    <t>Avg |% Change|</t>
  </si>
  <si>
    <t>2024-02-19</t>
  </si>
  <si>
    <t>2025-12-02</t>
  </si>
  <si>
    <t>2024-03-05</t>
  </si>
  <si>
    <t>2021-06-22</t>
  </si>
  <si>
    <t>2020-09-29</t>
  </si>
  <si>
    <t>2024-07-22</t>
  </si>
  <si>
    <t>2021-07-27</t>
  </si>
  <si>
    <t>2025-05-21</t>
  </si>
  <si>
    <t>2022-10-04</t>
  </si>
  <si>
    <t>2015-04-17</t>
  </si>
  <si>
    <t>2024-02-07</t>
  </si>
  <si>
    <t>2026-01-28</t>
  </si>
  <si>
    <t>2022-09-15</t>
  </si>
  <si>
    <t>2020-11-09</t>
  </si>
  <si>
    <t>2022-11-14</t>
  </si>
  <si>
    <t>2016-06-06</t>
  </si>
  <si>
    <t>2023-07-27</t>
  </si>
  <si>
    <t>2017-02-08</t>
  </si>
  <si>
    <t>2016-06-13</t>
  </si>
  <si>
    <t>2025-09-01</t>
  </si>
  <si>
    <t>2021-08-23</t>
  </si>
  <si>
    <t>2021-12-17</t>
  </si>
  <si>
    <t>2021-09-28</t>
  </si>
  <si>
    <t>2022-09-14</t>
  </si>
  <si>
    <t>2025-01-22</t>
  </si>
  <si>
    <t>2021-08-10</t>
  </si>
  <si>
    <t>2024-11-19</t>
  </si>
  <si>
    <t>2015-02-10</t>
  </si>
  <si>
    <t>2024-12-27</t>
  </si>
  <si>
    <t>2024-08-30</t>
  </si>
  <si>
    <t>2020-02-17</t>
  </si>
  <si>
    <t>2025-06-12</t>
  </si>
  <si>
    <t>2023-03-28</t>
  </si>
  <si>
    <t>2021-02-05</t>
  </si>
  <si>
    <t>2017-05-04</t>
  </si>
  <si>
    <t>2017-08-09</t>
  </si>
  <si>
    <t>2015-02-26</t>
  </si>
  <si>
    <t>2015-03-13</t>
  </si>
  <si>
    <t>2015-05-11</t>
  </si>
  <si>
    <t>2015-11-27</t>
  </si>
  <si>
    <t>2015-07-14</t>
  </si>
  <si>
    <t>2017-08-23</t>
  </si>
  <si>
    <t>2025-05-06</t>
  </si>
  <si>
    <t>2021-03-08</t>
  </si>
  <si>
    <t>2019-08-20</t>
  </si>
  <si>
    <t>2019-06-04</t>
  </si>
  <si>
    <t>2025-09-12</t>
  </si>
  <si>
    <t>2018-06-19</t>
  </si>
  <si>
    <t>2018-05-17</t>
  </si>
  <si>
    <t>2018-04-24</t>
  </si>
  <si>
    <t>2017-09-11</t>
  </si>
  <si>
    <t>2017-10-25</t>
  </si>
  <si>
    <t>2016-04-29</t>
  </si>
  <si>
    <t>2017-03-14</t>
  </si>
  <si>
    <t>2019-02-19</t>
  </si>
  <si>
    <t>2019-02-11</t>
  </si>
  <si>
    <t>2017-01-11</t>
  </si>
  <si>
    <t>2018-03-19</t>
  </si>
  <si>
    <t>2018-04-11</t>
  </si>
  <si>
    <t>2020-12-22</t>
  </si>
  <si>
    <t>2023-09-13</t>
  </si>
  <si>
    <t>2024-12-30</t>
  </si>
  <si>
    <t>2018-09-14</t>
  </si>
  <si>
    <t>2017-10-26</t>
  </si>
  <si>
    <t>2018-05-09</t>
  </si>
  <si>
    <t>2017-07-26</t>
  </si>
  <si>
    <t>2017-01-12</t>
  </si>
  <si>
    <t>2020-06-04</t>
  </si>
  <si>
    <t>2019-05-27</t>
  </si>
  <si>
    <t>2022-03-24</t>
  </si>
  <si>
    <t>2020-06-22</t>
  </si>
  <si>
    <t>2020-12-15</t>
  </si>
  <si>
    <t>2018-09-21</t>
  </si>
  <si>
    <t>2020-12-02</t>
  </si>
  <si>
    <t>2021-05-19</t>
  </si>
  <si>
    <t>2018-11-29</t>
  </si>
  <si>
    <t>2022-05-05</t>
  </si>
  <si>
    <t>2018-01-05</t>
  </si>
  <si>
    <t>2022-04-11</t>
  </si>
  <si>
    <t>2023-11-28</t>
  </si>
  <si>
    <t>15 | SHARPEST UPWARD RALLIES &amp; CORRECTIONS</t>
  </si>
  <si>
    <t>Top single-session % moves across the full dataset</t>
  </si>
  <si>
    <t>Top 10 Upward Rallies (Single Session % Gain)</t>
  </si>
  <si>
    <t>2020-03-13 10:20:00</t>
  </si>
  <si>
    <t>2020-12-04 09:15:00</t>
  </si>
  <si>
    <t>2021-06-08 09:15:00</t>
  </si>
  <si>
    <t>2021-10-19 10:10:00</t>
  </si>
  <si>
    <t>2021-06-21 12:05:00</t>
  </si>
  <si>
    <t>2018-10-10 15:15:00</t>
  </si>
  <si>
    <t>2021-10-18 09:15:00</t>
  </si>
  <si>
    <t>2021-10-19 09:15:00</t>
  </si>
  <si>
    <t>Top 10 Corrections (Single Session % Decline)</t>
  </si>
  <si>
    <t>2020-03-13 09:15:00</t>
  </si>
  <si>
    <t>2017-04-11 11:20:00</t>
  </si>
  <si>
    <t>2024-11-21 09:15:00</t>
  </si>
  <si>
    <t>2018-10-11 09:15:00</t>
  </si>
  <si>
    <t>2019-01-28 09:30:00</t>
  </si>
  <si>
    <t>2016-11-09 09:15:00</t>
  </si>
  <si>
    <t>2018-02-06 09:15:00</t>
  </si>
  <si>
    <t>2020-03-16 09:15:00</t>
  </si>
  <si>
    <t>2016-04-07 11:10:00</t>
  </si>
  <si>
    <t>2018-08-07 09:15:00</t>
  </si>
  <si>
    <t>Combined for Chart</t>
  </si>
  <si>
    <t>Notable Event: Hindenburg Research Report (published 24 Jan 2023)</t>
  </si>
  <si>
    <t>Repeated single-session declines of ~-4% to -5% across late Jan–mid Feb 2023, following the short-seller report alleging stock manipulation/accounting fraud at Adani Group. Adani Power's own FPO-adjacent volatility mirrored the group-wide selloff before recovering through 2023–2024.</t>
  </si>
  <si>
    <t>7 Feb 2023: 610.9M shares traded — the 14th-highest volume day in the full 2015–2026 dataset.</t>
  </si>
  <si>
    <t>Day Low % Move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</si>
  <si>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</si>
  <si>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</si>
  <si>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</si>
  <si>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</si>
  <si>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</si>
  <si>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</si>
  <si>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</si>
  <si>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</si>
  <si>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</si>
  <si>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2023-02-08</t>
  </si>
  <si>
    <t>2023-02-09</t>
  </si>
  <si>
    <t>2023-02-10</t>
  </si>
  <si>
    <t>2023-02-13</t>
  </si>
  <si>
    <t>2023-02-14</t>
  </si>
  <si>
    <t>2023-02-15</t>
  </si>
  <si>
    <t>NOTES, DATA SOURCES &amp; METHODOLOGY</t>
  </si>
  <si>
    <t>Data source: Adani Power Ltd 5-minute intraday OHLCV data, Feb 2015 – Apr 2026, queried via MySQL and exported to CSV, then analyzed in Excel.</t>
  </si>
  <si>
    <t>Methodology by section:</t>
  </si>
  <si>
    <t>• Yearly Trend &amp; Growth: first/last close and % change computed per calendar year from the underlying MySQL query.</t>
  </si>
  <si>
    <t>• Monthly Analysis: monthly average close and volume aggregated across all 12 years to show seasonal patterns, plus top individual months.</t>
  </si>
  <si>
    <t>• Volatility &amp; Spreads: average daily (high-low) trading range per year used as a volatility proxy; intraday spread ranked from 5-min bar OHLC data.</t>
  </si>
  <si>
    <t>• Moving Averages: MA20 crossover events (close crossing above/below its 20-period moving average) aggregated by year. A continuous MA50 series was not present in the exported dataset, so MA50 behavior could not be charted — noted for transparency.</t>
  </si>
  <si>
    <t>• Volume &amp; Correlation: 5-minute volume data aggregated to daily totals to identify top trading days; correlation computed between daily average absolute price change and daily volume (and volume spike) as a measure of the price–volume relationship.</t>
  </si>
  <si>
    <t>• Rallies &amp; Corrections: single 5-minute-bar % moves ranked to surface the sharpest upward and downward swings in the dataset.</t>
  </si>
  <si>
    <t>Data quality note: the 2026 partial-year rows in a few source exports (Q1, Q3, Q5, Q6, Q7) duplicated late-2025 monthly figures due to a filter overlap in the original SQL query (year 2026 pulling forward some 2025-dated rows). Duplicate rows were removed before analysis; 2026 figures reflect Jan–Apr 2026 only and represent a partial year.</t>
  </si>
  <si>
    <t>Conditional formatting note: % change columns use a fixed threshold at zero (green = gain, red = decline) rather than Excel's default percentile-based icon sets. Percentile buckets misclassify wide, mixed-sign ranges (e.g. a +38% year can land in the same bucket as a slightly negative year). Magnitude-only metrics (daily trading range, intraday spread) use data bars instead of directional icons, since there is no 'good' or 'bad' direction for those figures.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</si>
</sst>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.00"/>
    <numFmt numFmtId="165" formatCode="0.0\%"/>
    <numFmt numFmtId="166" formatCode="0.000"/>
    <numFmt numFmtId="167" formatCode="\+0.00\%"/>
    <numFmt numFmtId="168" formatCode="0.00\%"/>
  </numFmts>
  <fonts count="1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595959"/>
      <name val="Arial"/>
      <charset val="1"/>
    </font>
    <font>
      <b/>
      <sz val="13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2E7D32"/>
      <name val="Arial"/>
      <charset val="1"/>
    </font>
    <font>
      <b/>
      <sz val="11"/>
      <color rgb="FFC62828"/>
      <name val="Arial"/>
      <charset val="1"/>
    </font>
    <font>
      <b/>
      <sz val="11"/>
      <color rgb="FF1F3864"/>
      <name val="Arial"/>
      <charset val="1"/>
    </font>
    <font>
      <i/>
      <sz val="11"/>
      <color rgb="FF595959"/>
      <name val="Arial"/>
      <charset val="1"/>
    </font>
    <font>
      <i/>
      <sz val="11"/>
      <color rgb="FFBFBFBF"/>
      <name val="Arial"/>
      <charset val="1"/>
    </font>
    <font>
      <b/>
      <sz val="10"/>
      <color theme="0"/>
      <name val="Arial"/>
      <family val="2"/>
    </font>
    <font>
      <b/>
      <sz val="20"/>
      <color theme="0"/>
      <name val="Arial"/>
      <family val="2"/>
    </font>
    <font>
      <b/>
      <sz val="13"/>
      <color theme="0"/>
      <name val="Arial"/>
      <family val="2"/>
    </font>
    <font>
      <sz val="11"/>
      <color theme="0"/>
      <name val="Calibri"/>
      <family val="2"/>
      <charset val="1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i/>
      <sz val="10"/>
      <color theme="0"/>
      <name val="Arial"/>
      <family val="2"/>
    </font>
    <font>
      <b/>
      <sz val="36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7F7F7"/>
        <bgColor rgb="FFF2F2F2"/>
      </patternFill>
    </fill>
    <fill>
      <patternFill patternType="solid">
        <fgColor theme="3" tint="-0.249977111117893"/>
        <bgColor rgb="FFF7F7F7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333399"/>
      </patternFill>
    </fill>
    <fill>
      <patternFill patternType="solid">
        <fgColor theme="3" tint="0.39997558519241921"/>
        <bgColor rgb="FF333399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F7F7F7"/>
      </patternFill>
    </fill>
    <fill>
      <patternFill patternType="solid">
        <fgColor theme="3" tint="0.39997558519241921"/>
        <bgColor rgb="FFF2F2F2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9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3" fontId="5" fillId="0" borderId="1" xfId="0" applyNumberFormat="1" applyFont="1" applyBorder="1"/>
    <xf numFmtId="3" fontId="5" fillId="3" borderId="1" xfId="0" applyNumberFormat="1" applyFont="1" applyFill="1" applyBorder="1"/>
    <xf numFmtId="166" fontId="5" fillId="0" borderId="1" xfId="0" applyNumberFormat="1" applyFont="1" applyBorder="1"/>
    <xf numFmtId="166" fontId="5" fillId="3" borderId="1" xfId="0" applyNumberFormat="1" applyFont="1" applyFill="1" applyBorder="1"/>
    <xf numFmtId="2" fontId="5" fillId="3" borderId="1" xfId="0" applyNumberFormat="1" applyFont="1" applyFill="1" applyBorder="1"/>
    <xf numFmtId="2" fontId="5" fillId="0" borderId="1" xfId="0" applyNumberFormat="1" applyFont="1" applyBorder="1"/>
    <xf numFmtId="167" fontId="6" fillId="0" borderId="1" xfId="0" applyNumberFormat="1" applyFont="1" applyBorder="1"/>
    <xf numFmtId="167" fontId="6" fillId="3" borderId="1" xfId="0" applyNumberFormat="1" applyFont="1" applyFill="1" applyBorder="1"/>
    <xf numFmtId="168" fontId="7" fillId="3" borderId="1" xfId="0" applyNumberFormat="1" applyFont="1" applyFill="1" applyBorder="1"/>
    <xf numFmtId="168" fontId="7" fillId="0" borderId="1" xfId="0" applyNumberFormat="1" applyFont="1" applyBorder="1"/>
    <xf numFmtId="0" fontId="10" fillId="0" borderId="0" xfId="0" applyFont="1"/>
    <xf numFmtId="0" fontId="0" fillId="8" borderId="0" xfId="0" applyFill="1"/>
    <xf numFmtId="0" fontId="13" fillId="8" borderId="0" xfId="0" applyFont="1" applyFill="1"/>
    <xf numFmtId="0" fontId="14" fillId="8" borderId="0" xfId="0" applyFont="1" applyFill="1" applyAlignment="1">
      <alignment horizontal="center"/>
    </xf>
    <xf numFmtId="0" fontId="15" fillId="7" borderId="2" xfId="0" applyFont="1" applyFill="1" applyBorder="1" applyAlignment="1">
      <alignment horizontal="center"/>
    </xf>
    <xf numFmtId="0" fontId="16" fillId="10" borderId="2" xfId="0" applyFont="1" applyFill="1" applyBorder="1" applyAlignment="1">
      <alignment horizontal="center"/>
    </xf>
    <xf numFmtId="164" fontId="16" fillId="10" borderId="2" xfId="0" applyNumberFormat="1" applyFont="1" applyFill="1" applyBorder="1" applyAlignment="1">
      <alignment horizontal="center"/>
    </xf>
    <xf numFmtId="165" fontId="16" fillId="10" borderId="2" xfId="0" applyNumberFormat="1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164" fontId="16" fillId="8" borderId="2" xfId="0" applyNumberFormat="1" applyFont="1" applyFill="1" applyBorder="1" applyAlignment="1">
      <alignment horizontal="center"/>
    </xf>
    <xf numFmtId="165" fontId="16" fillId="8" borderId="2" xfId="0" applyNumberFormat="1" applyFont="1" applyFill="1" applyBorder="1" applyAlignment="1">
      <alignment horizontal="center"/>
    </xf>
    <xf numFmtId="0" fontId="0" fillId="5" borderId="0" xfId="0" applyFill="1" applyAlignment="1">
      <alignment vertical="center"/>
    </xf>
    <xf numFmtId="0" fontId="0" fillId="5" borderId="5" xfId="0" applyFill="1" applyBorder="1"/>
    <xf numFmtId="0" fontId="0" fillId="5" borderId="6" xfId="0" applyFill="1" applyBorder="1"/>
    <xf numFmtId="0" fontId="0" fillId="5" borderId="3" xfId="0" applyFill="1" applyBorder="1"/>
    <xf numFmtId="0" fontId="18" fillId="6" borderId="7" xfId="0" applyFont="1" applyFill="1" applyBorder="1" applyAlignment="1">
      <alignment horizontal="left" vertical="center" indent="21"/>
    </xf>
    <xf numFmtId="0" fontId="18" fillId="6" borderId="5" xfId="0" applyFont="1" applyFill="1" applyBorder="1" applyAlignment="1">
      <alignment horizontal="left" vertical="center" indent="21"/>
    </xf>
    <xf numFmtId="0" fontId="0" fillId="5" borderId="8" xfId="0" applyFill="1" applyBorder="1"/>
    <xf numFmtId="0" fontId="0" fillId="5" borderId="9" xfId="0" applyFill="1" applyBorder="1"/>
    <xf numFmtId="0" fontId="17" fillId="5" borderId="4" xfId="0" applyFont="1" applyFill="1" applyBorder="1" applyAlignment="1">
      <alignment horizontal="left" indent="57"/>
    </xf>
    <xf numFmtId="0" fontId="17" fillId="5" borderId="8" xfId="0" applyFont="1" applyFill="1" applyBorder="1" applyAlignment="1">
      <alignment horizontal="left" indent="57"/>
    </xf>
    <xf numFmtId="0" fontId="17" fillId="5" borderId="8" xfId="0" applyFont="1" applyFill="1" applyBorder="1" applyAlignment="1">
      <alignment horizontal="left" indent="1"/>
    </xf>
    <xf numFmtId="0" fontId="0" fillId="8" borderId="0" xfId="0" applyFill="1" applyAlignment="1">
      <alignment vertical="center"/>
    </xf>
    <xf numFmtId="0" fontId="13" fillId="8" borderId="0" xfId="0" applyFont="1" applyFill="1" applyAlignment="1">
      <alignment vertical="center"/>
    </xf>
    <xf numFmtId="0" fontId="14" fillId="8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/>
    </xf>
    <xf numFmtId="0" fontId="0" fillId="8" borderId="0" xfId="0" applyFill="1" applyAlignment="1">
      <alignment horizontal="left" indent="2"/>
    </xf>
    <xf numFmtId="0" fontId="12" fillId="9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indent="1"/>
    </xf>
    <xf numFmtId="0" fontId="9" fillId="0" borderId="0" xfId="0" applyFont="1"/>
    <xf numFmtId="0" fontId="5" fillId="0" borderId="0" xfId="0" applyFont="1"/>
  </cellXfs>
  <cellStyles count="1">
    <cellStyle name="Normal" xfId="0" builtinId="0"/>
  </cellStyles>
  <dxfs count="10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7F7F7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C9A227"/>
      <rgbColor rgb="FFFF6600"/>
      <rgbColor rgb="FF666666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Closing Price by Year (2015–2026)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Dashboard!$F$11</c:f>
              <c:strCache>
                <c:ptCount val="1"/>
                <c:pt idx="0">
                  <c:v>Avg Close</c:v>
                </c:pt>
              </c:strCache>
            </c:strRef>
          </c:tx>
          <c:spPr>
            <a:ln w="24840">
              <a:solidFill>
                <a:srgbClr val="1F3864"/>
              </a:solidFill>
              <a:round/>
            </a:ln>
          </c:spPr>
          <c:marker>
            <c:symbol val="circle"/>
            <c:size val="5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Dashboard!$B$12:$B$23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Dashboard!$F$12:$F$23</c:f>
              <c:numCache>
                <c:formatCode>\₹#,##0.00</c:formatCode>
                <c:ptCount val="12"/>
                <c:pt idx="0">
                  <c:v>6.9890163354365802</c:v>
                </c:pt>
                <c:pt idx="1">
                  <c:v>5.7876516016750399</c:v>
                </c:pt>
                <c:pt idx="2">
                  <c:v>6.6251040821844596</c:v>
                </c:pt>
                <c:pt idx="3">
                  <c:v>6.3539511611464299</c:v>
                </c:pt>
                <c:pt idx="4">
                  <c:v>10.907845439650499</c:v>
                </c:pt>
                <c:pt idx="5">
                  <c:v>8.2140066964284593</c:v>
                </c:pt>
                <c:pt idx="6">
                  <c:v>18.550753768844402</c:v>
                </c:pt>
                <c:pt idx="7">
                  <c:v>53.696735905044299</c:v>
                </c:pt>
                <c:pt idx="8">
                  <c:v>58.513713493229098</c:v>
                </c:pt>
                <c:pt idx="9">
                  <c:v>123.12414342844799</c:v>
                </c:pt>
                <c:pt idx="10">
                  <c:v>121.478781431334</c:v>
                </c:pt>
                <c:pt idx="11">
                  <c:v>145.706412556054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24-4D18-BE7E-DECC9BEBB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0841609"/>
        <c:axId val="69525379"/>
      </c:lineChart>
      <c:catAx>
        <c:axId val="508416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525379"/>
        <c:crosses val="autoZero"/>
        <c:auto val="1"/>
        <c:lblAlgn val="ctr"/>
        <c:lblOffset val="100"/>
        <c:noMultiLvlLbl val="0"/>
      </c:catAx>
      <c:valAx>
        <c:axId val="695253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Close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crossAx val="508416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Year-over-Year Price Growth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414406965796363"/>
          <c:y val="0.19076240238092365"/>
          <c:w val="0.64289294173112466"/>
          <c:h val="0.682898574890382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Dashboard!$E$11</c:f>
              <c:strCache>
                <c:ptCount val="1"/>
                <c:pt idx="0">
                  <c:v>YoY % Change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Dashboard!$B$12:$B$23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Dashboard!$E$12:$E$23</c:f>
              <c:numCache>
                <c:formatCode>0.0\%</c:formatCode>
                <c:ptCount val="12"/>
                <c:pt idx="0">
                  <c:v>-39.229999999999997</c:v>
                </c:pt>
                <c:pt idx="1">
                  <c:v>-11.11</c:v>
                </c:pt>
                <c:pt idx="2">
                  <c:v>38.33</c:v>
                </c:pt>
                <c:pt idx="3">
                  <c:v>22.29</c:v>
                </c:pt>
                <c:pt idx="4">
                  <c:v>20.2</c:v>
                </c:pt>
                <c:pt idx="5">
                  <c:v>-19.68</c:v>
                </c:pt>
                <c:pt idx="6">
                  <c:v>98.01</c:v>
                </c:pt>
                <c:pt idx="7">
                  <c:v>198.51</c:v>
                </c:pt>
                <c:pt idx="8">
                  <c:v>71.900000000000006</c:v>
                </c:pt>
                <c:pt idx="9">
                  <c:v>4.0199999999999996</c:v>
                </c:pt>
                <c:pt idx="10">
                  <c:v>36.6</c:v>
                </c:pt>
                <c:pt idx="11">
                  <c:v>18.41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8-4A36-B99F-AD6B865D5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2723"/>
        <c:axId val="76955418"/>
      </c:barChart>
      <c:catAx>
        <c:axId val="6527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955418"/>
        <c:crosses val="autoZero"/>
        <c:auto val="1"/>
        <c:lblAlgn val="ctr"/>
        <c:lblOffset val="100"/>
        <c:noMultiLvlLbl val="0"/>
      </c:catAx>
      <c:valAx>
        <c:axId val="769554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 Change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27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Price Trend: First vs Last Close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'Yearly Trend &amp; Growth'!$B$19</c:f>
              <c:strCache>
                <c:ptCount val="1"/>
                <c:pt idx="0">
                  <c:v>First Close (₹)</c:v>
                </c:pt>
              </c:strCache>
            </c:strRef>
          </c:tx>
          <c:spPr>
            <a:ln w="2844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'Yearly Trend &amp; Growth'!$A$20:$A$31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'Yearly Trend &amp; Growth'!$B$20:$B$31</c:f>
              <c:numCache>
                <c:formatCode>\₹#,##0.00</c:formatCode>
                <c:ptCount val="12"/>
                <c:pt idx="0">
                  <c:v>10.45</c:v>
                </c:pt>
                <c:pt idx="1">
                  <c:v>6.75</c:v>
                </c:pt>
                <c:pt idx="2">
                  <c:v>6</c:v>
                </c:pt>
                <c:pt idx="3">
                  <c:v>8.3000000000000007</c:v>
                </c:pt>
                <c:pt idx="4">
                  <c:v>10.15</c:v>
                </c:pt>
                <c:pt idx="5">
                  <c:v>12.45</c:v>
                </c:pt>
                <c:pt idx="6">
                  <c:v>10.050000000000001</c:v>
                </c:pt>
                <c:pt idx="7">
                  <c:v>20.149999999999999</c:v>
                </c:pt>
                <c:pt idx="8">
                  <c:v>60.85</c:v>
                </c:pt>
                <c:pt idx="9">
                  <c:v>104.4</c:v>
                </c:pt>
                <c:pt idx="10">
                  <c:v>105.6</c:v>
                </c:pt>
                <c:pt idx="11">
                  <c:v>143.15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E5-4BFB-9E23-33B0A0F4944B}"/>
            </c:ext>
          </c:extLst>
        </c:ser>
        <c:ser>
          <c:idx val="1"/>
          <c:order val="1"/>
          <c:tx>
            <c:strRef>
              <c:f>'Yearly Trend &amp; Growth'!$C$19</c:f>
              <c:strCache>
                <c:ptCount val="1"/>
                <c:pt idx="0">
                  <c:v>Last Close (₹)</c:v>
                </c:pt>
              </c:strCache>
            </c:strRef>
          </c:tx>
          <c:spPr>
            <a:ln w="28440">
              <a:solidFill>
                <a:srgbClr val="C9A22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'Yearly Trend &amp; Growth'!$A$20:$A$31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'Yearly Trend &amp; Growth'!$C$20:$C$31</c:f>
              <c:numCache>
                <c:formatCode>\₹#,##0.00</c:formatCode>
                <c:ptCount val="12"/>
                <c:pt idx="0">
                  <c:v>6.35</c:v>
                </c:pt>
                <c:pt idx="1">
                  <c:v>6</c:v>
                </c:pt>
                <c:pt idx="2">
                  <c:v>8.3000000000000007</c:v>
                </c:pt>
                <c:pt idx="3">
                  <c:v>10.15</c:v>
                </c:pt>
                <c:pt idx="4">
                  <c:v>12.2</c:v>
                </c:pt>
                <c:pt idx="5">
                  <c:v>10</c:v>
                </c:pt>
                <c:pt idx="6">
                  <c:v>19.899999999999999</c:v>
                </c:pt>
                <c:pt idx="7">
                  <c:v>60.15</c:v>
                </c:pt>
                <c:pt idx="8">
                  <c:v>104.6</c:v>
                </c:pt>
                <c:pt idx="9">
                  <c:v>108.6</c:v>
                </c:pt>
                <c:pt idx="10">
                  <c:v>144.25</c:v>
                </c:pt>
                <c:pt idx="11">
                  <c:v>169.5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E5-4BFB-9E23-33B0A0F49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67641"/>
        <c:axId val="33026645"/>
      </c:lineChart>
      <c:catAx>
        <c:axId val="83676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026645"/>
        <c:crosses val="autoZero"/>
        <c:auto val="1"/>
        <c:lblAlgn val="ctr"/>
        <c:lblOffset val="100"/>
        <c:noMultiLvlLbl val="0"/>
      </c:catAx>
      <c:valAx>
        <c:axId val="33026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Close Price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676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Close by Calendar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Analysis'!$B$4</c:f>
              <c:strCache>
                <c:ptCount val="1"/>
                <c:pt idx="0">
                  <c:v>Overall Avg Close (₹)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Analysis'!$B$5:$B$16</c:f>
              <c:numCache>
                <c:formatCode>\₹#,##0.00</c:formatCode>
                <c:ptCount val="12"/>
                <c:pt idx="0">
                  <c:v>43.958181818181799</c:v>
                </c:pt>
                <c:pt idx="1">
                  <c:v>39.349166666666697</c:v>
                </c:pt>
                <c:pt idx="2">
                  <c:v>40.355833333333301</c:v>
                </c:pt>
                <c:pt idx="3">
                  <c:v>45.201666666666704</c:v>
                </c:pt>
                <c:pt idx="4">
                  <c:v>36.8645454545455</c:v>
                </c:pt>
                <c:pt idx="5">
                  <c:v>39.358181818181798</c:v>
                </c:pt>
                <c:pt idx="6">
                  <c:v>39.1145454545455</c:v>
                </c:pt>
                <c:pt idx="7">
                  <c:v>40.743636363636398</c:v>
                </c:pt>
                <c:pt idx="8">
                  <c:v>43.607272727272701</c:v>
                </c:pt>
                <c:pt idx="9">
                  <c:v>44.089090909090899</c:v>
                </c:pt>
                <c:pt idx="10">
                  <c:v>43.3481818181818</c:v>
                </c:pt>
                <c:pt idx="11">
                  <c:v>44.141818181818202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8-4FA9-85F4-61D704BCA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088866"/>
        <c:axId val="98232271"/>
      </c:barChart>
      <c:catAx>
        <c:axId val="970888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232271"/>
        <c:crosses val="autoZero"/>
        <c:auto val="1"/>
        <c:lblAlgn val="ctr"/>
        <c:lblOffset val="100"/>
        <c:noMultiLvlLbl val="0"/>
      </c:catAx>
      <c:valAx>
        <c:axId val="982322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0888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Volume by Calendar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Analysis'!$B$48</c:f>
              <c:strCache>
                <c:ptCount val="1"/>
                <c:pt idx="0">
                  <c:v>Total Volume (Shares)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Analysis'!$A$49:$A$60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Analysis'!$B$49:$B$60</c:f>
              <c:numCache>
                <c:formatCode>#,##0</c:formatCode>
                <c:ptCount val="12"/>
                <c:pt idx="0">
                  <c:v>10884694799</c:v>
                </c:pt>
                <c:pt idx="1">
                  <c:v>15262967636</c:v>
                </c:pt>
                <c:pt idx="2">
                  <c:v>17568707779</c:v>
                </c:pt>
                <c:pt idx="3">
                  <c:v>16650990749</c:v>
                </c:pt>
                <c:pt idx="4">
                  <c:v>14733259205</c:v>
                </c:pt>
                <c:pt idx="5">
                  <c:v>15156684760</c:v>
                </c:pt>
                <c:pt idx="6">
                  <c:v>14164124595</c:v>
                </c:pt>
                <c:pt idx="7">
                  <c:v>14656761280</c:v>
                </c:pt>
                <c:pt idx="8">
                  <c:v>11041419051</c:v>
                </c:pt>
                <c:pt idx="9">
                  <c:v>11310175236</c:v>
                </c:pt>
                <c:pt idx="10">
                  <c:v>11270026245</c:v>
                </c:pt>
                <c:pt idx="11">
                  <c:v>11262771758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0-4F7E-9A37-2A687FB35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005872"/>
        <c:axId val="41341994"/>
      </c:barChart>
      <c:catAx>
        <c:axId val="6100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341994"/>
        <c:crosses val="autoZero"/>
        <c:auto val="1"/>
        <c:lblAlgn val="ctr"/>
        <c:lblOffset val="100"/>
        <c:noMultiLvlLbl val="0"/>
      </c:catAx>
      <c:valAx>
        <c:axId val="413419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0058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Daily Range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'Volatility &amp; Spreads'!$B$4</c:f>
              <c:strCache>
                <c:ptCount val="1"/>
                <c:pt idx="0">
                  <c:v>Avg Daily Range (₹)</c:v>
                </c:pt>
              </c:strCache>
            </c:strRef>
          </c:tx>
          <c:spPr>
            <a:solidFill>
              <a:srgbClr val="C6282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'Volatility &amp; Spreads'!$A$5:$A$16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'Volatility &amp; Spreads'!$B$5:$B$16</c:f>
              <c:numCache>
                <c:formatCode>\₹#,##0.00</c:formatCode>
                <c:ptCount val="12"/>
                <c:pt idx="0">
                  <c:v>0.03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0.04</c:v>
                </c:pt>
                <c:pt idx="6">
                  <c:v>0.08</c:v>
                </c:pt>
                <c:pt idx="7">
                  <c:v>0.24</c:v>
                </c:pt>
                <c:pt idx="8">
                  <c:v>0.22</c:v>
                </c:pt>
                <c:pt idx="9">
                  <c:v>0.47</c:v>
                </c:pt>
                <c:pt idx="10">
                  <c:v>0.37</c:v>
                </c:pt>
                <c:pt idx="11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6-4ED8-A46C-77607BEEF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38555"/>
        <c:axId val="45368398"/>
      </c:barChart>
      <c:catAx>
        <c:axId val="223385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368398"/>
        <c:crosses val="autoZero"/>
        <c:auto val="1"/>
        <c:lblAlgn val="ctr"/>
        <c:lblOffset val="100"/>
        <c:noMultiLvlLbl val="0"/>
      </c:catAx>
      <c:valAx>
        <c:axId val="453683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3385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MA20 Crossovers per Year (Above vs Below)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'Moving Averages'!$B$4</c:f>
              <c:strCache>
                <c:ptCount val="1"/>
                <c:pt idx="0">
                  <c:v>Crossed Above MA20</c:v>
                </c:pt>
              </c:strCache>
            </c:strRef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'Moving Averages'!$A$5:$A$16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'Moving Averages'!$B$5:$B$16</c:f>
              <c:numCache>
                <c:formatCode>General</c:formatCode>
                <c:ptCount val="12"/>
                <c:pt idx="0">
                  <c:v>837</c:v>
                </c:pt>
                <c:pt idx="1">
                  <c:v>799</c:v>
                </c:pt>
                <c:pt idx="2">
                  <c:v>822</c:v>
                </c:pt>
                <c:pt idx="3">
                  <c:v>866</c:v>
                </c:pt>
                <c:pt idx="4">
                  <c:v>945</c:v>
                </c:pt>
                <c:pt idx="5">
                  <c:v>885</c:v>
                </c:pt>
                <c:pt idx="6">
                  <c:v>864</c:v>
                </c:pt>
                <c:pt idx="7">
                  <c:v>1004</c:v>
                </c:pt>
                <c:pt idx="8">
                  <c:v>957</c:v>
                </c:pt>
                <c:pt idx="9">
                  <c:v>1228</c:v>
                </c:pt>
                <c:pt idx="10">
                  <c:v>1081</c:v>
                </c:pt>
                <c:pt idx="11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9-4CD8-8440-96C0371BBCF4}"/>
            </c:ext>
          </c:extLst>
        </c:ser>
        <c:ser>
          <c:idx val="1"/>
          <c:order val="1"/>
          <c:tx>
            <c:strRef>
              <c:f>'Moving Averages'!$C$4</c:f>
              <c:strCache>
                <c:ptCount val="1"/>
                <c:pt idx="0">
                  <c:v>Crossed Below MA20</c:v>
                </c:pt>
              </c:strCache>
            </c:strRef>
          </c:tx>
          <c:spPr>
            <a:solidFill>
              <a:srgbClr val="C6282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'Moving Averages'!$A$5:$A$16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'Moving Averages'!$C$5:$C$16</c:f>
              <c:numCache>
                <c:formatCode>General</c:formatCode>
                <c:ptCount val="12"/>
                <c:pt idx="0">
                  <c:v>825</c:v>
                </c:pt>
                <c:pt idx="1">
                  <c:v>780</c:v>
                </c:pt>
                <c:pt idx="2">
                  <c:v>828</c:v>
                </c:pt>
                <c:pt idx="3">
                  <c:v>873</c:v>
                </c:pt>
                <c:pt idx="4">
                  <c:v>972</c:v>
                </c:pt>
                <c:pt idx="5">
                  <c:v>870</c:v>
                </c:pt>
                <c:pt idx="6">
                  <c:v>858</c:v>
                </c:pt>
                <c:pt idx="7">
                  <c:v>995</c:v>
                </c:pt>
                <c:pt idx="8">
                  <c:v>957</c:v>
                </c:pt>
                <c:pt idx="9">
                  <c:v>1224</c:v>
                </c:pt>
                <c:pt idx="10">
                  <c:v>1076</c:v>
                </c:pt>
                <c:pt idx="11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39-4CD8-8440-96C0371BB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785602"/>
        <c:axId val="85561468"/>
      </c:barChart>
      <c:catAx>
        <c:axId val="867856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561468"/>
        <c:crosses val="autoZero"/>
        <c:auto val="1"/>
        <c:lblAlgn val="ctr"/>
        <c:lblOffset val="100"/>
        <c:noMultiLvlLbl val="0"/>
      </c:catAx>
      <c:valAx>
        <c:axId val="85561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7856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15 Highest Volume Days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'Volume &amp; Correlation'!$B$4</c:f>
              <c:strCache>
                <c:ptCount val="1"/>
                <c:pt idx="0">
                  <c:v>Total Volume (Shares)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&amp; Correlation'!$A$5:$A$19</c:f>
              <c:strCache>
                <c:ptCount val="15"/>
                <c:pt idx="0">
                  <c:v>2022-03-29</c:v>
                </c:pt>
                <c:pt idx="1">
                  <c:v>2021-06-08</c:v>
                </c:pt>
                <c:pt idx="2">
                  <c:v>2021-06-09</c:v>
                </c:pt>
                <c:pt idx="3">
                  <c:v>2022-04-04</c:v>
                </c:pt>
                <c:pt idx="4">
                  <c:v>2022-04-01</c:v>
                </c:pt>
                <c:pt idx="5">
                  <c:v>2022-03-31</c:v>
                </c:pt>
                <c:pt idx="6">
                  <c:v>2022-02-16</c:v>
                </c:pt>
                <c:pt idx="7">
                  <c:v>2022-03-30</c:v>
                </c:pt>
                <c:pt idx="8">
                  <c:v>2020-12-04</c:v>
                </c:pt>
                <c:pt idx="9">
                  <c:v>2019-07-02</c:v>
                </c:pt>
                <c:pt idx="10">
                  <c:v>2017-04-11</c:v>
                </c:pt>
                <c:pt idx="11">
                  <c:v>2022-02-17</c:v>
                </c:pt>
                <c:pt idx="12">
                  <c:v>2018-07-11</c:v>
                </c:pt>
                <c:pt idx="13">
                  <c:v>2023-02-07</c:v>
                </c:pt>
                <c:pt idx="14">
                  <c:v>2016-10-27</c:v>
                </c:pt>
              </c:strCache>
            </c:strRef>
          </c:cat>
          <c:val>
            <c:numRef>
              <c:f>'Volume &amp; Correlation'!$B$5:$B$19</c:f>
              <c:numCache>
                <c:formatCode>#,##0</c:formatCode>
                <c:ptCount val="15"/>
                <c:pt idx="0">
                  <c:v>1199860275</c:v>
                </c:pt>
                <c:pt idx="1">
                  <c:v>1099886855</c:v>
                </c:pt>
                <c:pt idx="2">
                  <c:v>953372430</c:v>
                </c:pt>
                <c:pt idx="3">
                  <c:v>832726775</c:v>
                </c:pt>
                <c:pt idx="4">
                  <c:v>705922770</c:v>
                </c:pt>
                <c:pt idx="5">
                  <c:v>690517770</c:v>
                </c:pt>
                <c:pt idx="6">
                  <c:v>687330665</c:v>
                </c:pt>
                <c:pt idx="7">
                  <c:v>659466220</c:v>
                </c:pt>
                <c:pt idx="8">
                  <c:v>655073445</c:v>
                </c:pt>
                <c:pt idx="9">
                  <c:v>643930140</c:v>
                </c:pt>
                <c:pt idx="10">
                  <c:v>623812885</c:v>
                </c:pt>
                <c:pt idx="11">
                  <c:v>621590230</c:v>
                </c:pt>
                <c:pt idx="12">
                  <c:v>621403730</c:v>
                </c:pt>
                <c:pt idx="13">
                  <c:v>610932785</c:v>
                </c:pt>
                <c:pt idx="14">
                  <c:v>597587065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C-4633-BE54-8BBA961DB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885375"/>
        <c:axId val="60993256"/>
      </c:barChart>
      <c:catAx>
        <c:axId val="45885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993256"/>
        <c:crosses val="autoZero"/>
        <c:auto val="1"/>
        <c:lblAlgn val="ctr"/>
        <c:lblOffset val="100"/>
        <c:noMultiLvlLbl val="0"/>
      </c:catAx>
      <c:valAx>
        <c:axId val="609932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8853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Volume vs Avg |% Price Change| (Daily, Sampled)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Daily Obs.</c:v>
          </c:tx>
          <c:spPr>
            <a:ln w="28440">
              <a:noFill/>
            </a:ln>
          </c:spPr>
          <c:marker>
            <c:symbol val="circle"/>
            <c:size val="5"/>
            <c:spPr>
              <a:solidFill>
                <a:srgbClr val="C9A22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'Volume &amp; Correlation'!$B$48:$B$127</c:f>
              <c:numCache>
                <c:formatCode>#,##0</c:formatCode>
                <c:ptCount val="80"/>
                <c:pt idx="0">
                  <c:v>4787305</c:v>
                </c:pt>
                <c:pt idx="1">
                  <c:v>6330890</c:v>
                </c:pt>
                <c:pt idx="2">
                  <c:v>10570200</c:v>
                </c:pt>
                <c:pt idx="3">
                  <c:v>10971250</c:v>
                </c:pt>
                <c:pt idx="4">
                  <c:v>10997640</c:v>
                </c:pt>
                <c:pt idx="5">
                  <c:v>12142045</c:v>
                </c:pt>
                <c:pt idx="6">
                  <c:v>13143000</c:v>
                </c:pt>
                <c:pt idx="7">
                  <c:v>13297540</c:v>
                </c:pt>
                <c:pt idx="8">
                  <c:v>13727460</c:v>
                </c:pt>
                <c:pt idx="9">
                  <c:v>13799820</c:v>
                </c:pt>
                <c:pt idx="10">
                  <c:v>13870295</c:v>
                </c:pt>
                <c:pt idx="11">
                  <c:v>14794613</c:v>
                </c:pt>
                <c:pt idx="12">
                  <c:v>14818995</c:v>
                </c:pt>
                <c:pt idx="13">
                  <c:v>15241065</c:v>
                </c:pt>
                <c:pt idx="14">
                  <c:v>15612380</c:v>
                </c:pt>
                <c:pt idx="15">
                  <c:v>15860875</c:v>
                </c:pt>
                <c:pt idx="16">
                  <c:v>16081500</c:v>
                </c:pt>
                <c:pt idx="17">
                  <c:v>16314635</c:v>
                </c:pt>
                <c:pt idx="18">
                  <c:v>16385610</c:v>
                </c:pt>
                <c:pt idx="19">
                  <c:v>16514230</c:v>
                </c:pt>
                <c:pt idx="20">
                  <c:v>16526560</c:v>
                </c:pt>
                <c:pt idx="21">
                  <c:v>16698670</c:v>
                </c:pt>
                <c:pt idx="22">
                  <c:v>17136160</c:v>
                </c:pt>
                <c:pt idx="23">
                  <c:v>17168455</c:v>
                </c:pt>
                <c:pt idx="24">
                  <c:v>17455945</c:v>
                </c:pt>
                <c:pt idx="25">
                  <c:v>18497125</c:v>
                </c:pt>
                <c:pt idx="26">
                  <c:v>20004205</c:v>
                </c:pt>
                <c:pt idx="27">
                  <c:v>20707885</c:v>
                </c:pt>
                <c:pt idx="28">
                  <c:v>23303295</c:v>
                </c:pt>
                <c:pt idx="29">
                  <c:v>23783455</c:v>
                </c:pt>
                <c:pt idx="30">
                  <c:v>24367115</c:v>
                </c:pt>
                <c:pt idx="31">
                  <c:v>25597465</c:v>
                </c:pt>
                <c:pt idx="32">
                  <c:v>26661650</c:v>
                </c:pt>
                <c:pt idx="33">
                  <c:v>28984950</c:v>
                </c:pt>
                <c:pt idx="34">
                  <c:v>33321130</c:v>
                </c:pt>
                <c:pt idx="35">
                  <c:v>34319545</c:v>
                </c:pt>
                <c:pt idx="36">
                  <c:v>34859245</c:v>
                </c:pt>
                <c:pt idx="37">
                  <c:v>35791705</c:v>
                </c:pt>
                <c:pt idx="38">
                  <c:v>38016025</c:v>
                </c:pt>
                <c:pt idx="39">
                  <c:v>38646235</c:v>
                </c:pt>
                <c:pt idx="40">
                  <c:v>38877710</c:v>
                </c:pt>
                <c:pt idx="41">
                  <c:v>39465120</c:v>
                </c:pt>
                <c:pt idx="42">
                  <c:v>40112955</c:v>
                </c:pt>
                <c:pt idx="43">
                  <c:v>42507425</c:v>
                </c:pt>
                <c:pt idx="44">
                  <c:v>44258160</c:v>
                </c:pt>
                <c:pt idx="45">
                  <c:v>45790765</c:v>
                </c:pt>
                <c:pt idx="46">
                  <c:v>46245645</c:v>
                </c:pt>
                <c:pt idx="47">
                  <c:v>46262780</c:v>
                </c:pt>
                <c:pt idx="48">
                  <c:v>46627320</c:v>
                </c:pt>
                <c:pt idx="49">
                  <c:v>46895050</c:v>
                </c:pt>
                <c:pt idx="50">
                  <c:v>47060155</c:v>
                </c:pt>
                <c:pt idx="51">
                  <c:v>47269655</c:v>
                </c:pt>
                <c:pt idx="52">
                  <c:v>49831195</c:v>
                </c:pt>
                <c:pt idx="53">
                  <c:v>56713330</c:v>
                </c:pt>
                <c:pt idx="54">
                  <c:v>56894410</c:v>
                </c:pt>
                <c:pt idx="55">
                  <c:v>58887290</c:v>
                </c:pt>
                <c:pt idx="56">
                  <c:v>62031395</c:v>
                </c:pt>
                <c:pt idx="57">
                  <c:v>68504970</c:v>
                </c:pt>
                <c:pt idx="58">
                  <c:v>69977600</c:v>
                </c:pt>
                <c:pt idx="59">
                  <c:v>71152645</c:v>
                </c:pt>
                <c:pt idx="60">
                  <c:v>72097370</c:v>
                </c:pt>
                <c:pt idx="61">
                  <c:v>73689475</c:v>
                </c:pt>
                <c:pt idx="62">
                  <c:v>77338755</c:v>
                </c:pt>
                <c:pt idx="63">
                  <c:v>89065060</c:v>
                </c:pt>
                <c:pt idx="64">
                  <c:v>91943165</c:v>
                </c:pt>
                <c:pt idx="65">
                  <c:v>105120790</c:v>
                </c:pt>
                <c:pt idx="66">
                  <c:v>107166080</c:v>
                </c:pt>
                <c:pt idx="67">
                  <c:v>108559410</c:v>
                </c:pt>
                <c:pt idx="68">
                  <c:v>114786595</c:v>
                </c:pt>
                <c:pt idx="69">
                  <c:v>128263985</c:v>
                </c:pt>
                <c:pt idx="70">
                  <c:v>142584200</c:v>
                </c:pt>
                <c:pt idx="71">
                  <c:v>168846935</c:v>
                </c:pt>
                <c:pt idx="72">
                  <c:v>176147465</c:v>
                </c:pt>
                <c:pt idx="73">
                  <c:v>192911290</c:v>
                </c:pt>
                <c:pt idx="74">
                  <c:v>193883120</c:v>
                </c:pt>
                <c:pt idx="75">
                  <c:v>195240870</c:v>
                </c:pt>
                <c:pt idx="76">
                  <c:v>198301615</c:v>
                </c:pt>
                <c:pt idx="77">
                  <c:v>238053010</c:v>
                </c:pt>
                <c:pt idx="78">
                  <c:v>300657220</c:v>
                </c:pt>
                <c:pt idx="79">
                  <c:v>332162635</c:v>
                </c:pt>
              </c:numCache>
            </c:numRef>
          </c:xVal>
          <c:yVal>
            <c:numRef>
              <c:f>'Volume &amp; Correlation'!$C$48:$C$127</c:f>
              <c:numCache>
                <c:formatCode>0.00</c:formatCode>
                <c:ptCount val="80"/>
                <c:pt idx="0">
                  <c:v>0.17510014159411699</c:v>
                </c:pt>
                <c:pt idx="1">
                  <c:v>7.7265646160309495E-2</c:v>
                </c:pt>
                <c:pt idx="2">
                  <c:v>0.12647289675457701</c:v>
                </c:pt>
                <c:pt idx="3">
                  <c:v>6.6390041493775906E-2</c:v>
                </c:pt>
                <c:pt idx="4">
                  <c:v>0.14269947800149099</c:v>
                </c:pt>
                <c:pt idx="5">
                  <c:v>0.15856400893616901</c:v>
                </c:pt>
                <c:pt idx="6">
                  <c:v>0.211979144639943</c:v>
                </c:pt>
                <c:pt idx="7">
                  <c:v>0.11429823074588299</c:v>
                </c:pt>
                <c:pt idx="8">
                  <c:v>0.56431172827210796</c:v>
                </c:pt>
                <c:pt idx="9">
                  <c:v>0.13874684060503401</c:v>
                </c:pt>
                <c:pt idx="10">
                  <c:v>0.21846796483665901</c:v>
                </c:pt>
                <c:pt idx="11">
                  <c:v>0.113427228777968</c:v>
                </c:pt>
                <c:pt idx="12">
                  <c:v>0.22567816462364301</c:v>
                </c:pt>
                <c:pt idx="13">
                  <c:v>0.16984980179966599</c:v>
                </c:pt>
                <c:pt idx="14">
                  <c:v>0.377496333030653</c:v>
                </c:pt>
                <c:pt idx="15">
                  <c:v>0.12594894787866101</c:v>
                </c:pt>
                <c:pt idx="16">
                  <c:v>0.118202005875333</c:v>
                </c:pt>
                <c:pt idx="17">
                  <c:v>0.191974927797183</c:v>
                </c:pt>
                <c:pt idx="18">
                  <c:v>0.17124151383442501</c:v>
                </c:pt>
                <c:pt idx="19">
                  <c:v>0.125962809510973</c:v>
                </c:pt>
                <c:pt idx="20">
                  <c:v>0.21412142731221501</c:v>
                </c:pt>
                <c:pt idx="21">
                  <c:v>0.123162277909501</c:v>
                </c:pt>
                <c:pt idx="22">
                  <c:v>9.6955762428546102E-2</c:v>
                </c:pt>
                <c:pt idx="23">
                  <c:v>0.222976205862816</c:v>
                </c:pt>
                <c:pt idx="24">
                  <c:v>0.157065694573124</c:v>
                </c:pt>
                <c:pt idx="25">
                  <c:v>0.21419501630214599</c:v>
                </c:pt>
                <c:pt idx="26">
                  <c:v>0.16120421859961201</c:v>
                </c:pt>
                <c:pt idx="27">
                  <c:v>0.16370449925379599</c:v>
                </c:pt>
                <c:pt idx="28">
                  <c:v>0.17167339868714299</c:v>
                </c:pt>
                <c:pt idx="29">
                  <c:v>0.12318848354325999</c:v>
                </c:pt>
                <c:pt idx="30">
                  <c:v>0.182274387575386</c:v>
                </c:pt>
                <c:pt idx="31">
                  <c:v>0.15950459760101901</c:v>
                </c:pt>
                <c:pt idx="32">
                  <c:v>8.3536748063834695E-2</c:v>
                </c:pt>
                <c:pt idx="33">
                  <c:v>0.157594040751041</c:v>
                </c:pt>
                <c:pt idx="34">
                  <c:v>9.7123874464550702E-2</c:v>
                </c:pt>
                <c:pt idx="35">
                  <c:v>0.294866701899484</c:v>
                </c:pt>
                <c:pt idx="36">
                  <c:v>0.192414014797328</c:v>
                </c:pt>
                <c:pt idx="37">
                  <c:v>0.174467758421542</c:v>
                </c:pt>
                <c:pt idx="38">
                  <c:v>0.25913049812782202</c:v>
                </c:pt>
                <c:pt idx="39">
                  <c:v>0.21533700825865301</c:v>
                </c:pt>
                <c:pt idx="40">
                  <c:v>0.288659134220563</c:v>
                </c:pt>
                <c:pt idx="41">
                  <c:v>0.188809094948096</c:v>
                </c:pt>
                <c:pt idx="42">
                  <c:v>0.18267925629670501</c:v>
                </c:pt>
                <c:pt idx="43">
                  <c:v>5.3333333333333302E-2</c:v>
                </c:pt>
                <c:pt idx="44">
                  <c:v>0.24350279647713</c:v>
                </c:pt>
                <c:pt idx="45">
                  <c:v>0.17198453490134399</c:v>
                </c:pt>
                <c:pt idx="46">
                  <c:v>0.14361087672648301</c:v>
                </c:pt>
                <c:pt idx="47">
                  <c:v>0.38359592469181503</c:v>
                </c:pt>
                <c:pt idx="48">
                  <c:v>0.196350713251499</c:v>
                </c:pt>
                <c:pt idx="49">
                  <c:v>0.18418414999695301</c:v>
                </c:pt>
                <c:pt idx="50">
                  <c:v>9.6176172575857505E-2</c:v>
                </c:pt>
                <c:pt idx="51">
                  <c:v>0.121216637312017</c:v>
                </c:pt>
                <c:pt idx="52">
                  <c:v>0.218856336439608</c:v>
                </c:pt>
                <c:pt idx="53">
                  <c:v>0.17038971355110299</c:v>
                </c:pt>
                <c:pt idx="54">
                  <c:v>0.33595872866731402</c:v>
                </c:pt>
                <c:pt idx="55">
                  <c:v>0.27103258880669501</c:v>
                </c:pt>
                <c:pt idx="56">
                  <c:v>0.107509443948633</c:v>
                </c:pt>
                <c:pt idx="57">
                  <c:v>0.25129215011851902</c:v>
                </c:pt>
                <c:pt idx="58">
                  <c:v>0.16365306943688099</c:v>
                </c:pt>
                <c:pt idx="59">
                  <c:v>0.35739965293077502</c:v>
                </c:pt>
                <c:pt idx="60">
                  <c:v>0.30631443563087302</c:v>
                </c:pt>
                <c:pt idx="61">
                  <c:v>0.29527025591551698</c:v>
                </c:pt>
                <c:pt idx="62">
                  <c:v>0.228549870374432</c:v>
                </c:pt>
                <c:pt idx="63">
                  <c:v>0.27474877434947997</c:v>
                </c:pt>
                <c:pt idx="64">
                  <c:v>0.25712911427197099</c:v>
                </c:pt>
                <c:pt idx="65">
                  <c:v>0.25417291193916403</c:v>
                </c:pt>
                <c:pt idx="66">
                  <c:v>0.28939771204357301</c:v>
                </c:pt>
                <c:pt idx="67">
                  <c:v>0.31455433301409702</c:v>
                </c:pt>
                <c:pt idx="68">
                  <c:v>0.25477446221926198</c:v>
                </c:pt>
                <c:pt idx="69">
                  <c:v>0.16132262850277801</c:v>
                </c:pt>
                <c:pt idx="70">
                  <c:v>0.29176249801742699</c:v>
                </c:pt>
                <c:pt idx="71">
                  <c:v>0.29106995033673</c:v>
                </c:pt>
                <c:pt idx="72">
                  <c:v>0.69010561644172097</c:v>
                </c:pt>
                <c:pt idx="73">
                  <c:v>0.450742646186722</c:v>
                </c:pt>
                <c:pt idx="74">
                  <c:v>0.30406902640564598</c:v>
                </c:pt>
                <c:pt idx="75">
                  <c:v>0.39000139995045802</c:v>
                </c:pt>
                <c:pt idx="76">
                  <c:v>0.70688587814297699</c:v>
                </c:pt>
                <c:pt idx="77">
                  <c:v>0.268240095973306</c:v>
                </c:pt>
                <c:pt idx="78">
                  <c:v>0.40612935664593602</c:v>
                </c:pt>
                <c:pt idx="79">
                  <c:v>0.49545725471959501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61-4844-A057-B5DC272DB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8384"/>
        <c:axId val="63022284"/>
      </c:scatterChart>
      <c:valAx>
        <c:axId val="136683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Total Volume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022284"/>
        <c:crosses val="autoZero"/>
        <c:crossBetween val="midCat"/>
      </c:valAx>
      <c:valAx>
        <c:axId val="630222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|% Change|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66838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Sharpest Single-Session Moves (Top 10 Rallies vs Corrections)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46838763330093E-2"/>
          <c:y val="0.12396756269710169"/>
          <c:w val="0.80883139133180559"/>
          <c:h val="0.730566103399862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'Rallies &amp; Corrections'!$B$30</c:f>
              <c:strCache>
                <c:ptCount val="1"/>
                <c:pt idx="0">
                  <c:v>% Change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'Rallies &amp; Corrections'!$A$31:$A$50</c:f>
              <c:strCache>
                <c:ptCount val="20"/>
                <c:pt idx="0">
                  <c:v>2020-03-13 10:20:00</c:v>
                </c:pt>
                <c:pt idx="1">
                  <c:v>2025-09-22 09:15:00</c:v>
                </c:pt>
                <c:pt idx="2">
                  <c:v>2024-06-03 09:15:00</c:v>
                </c:pt>
                <c:pt idx="3">
                  <c:v>2020-12-04 09:15:00</c:v>
                </c:pt>
                <c:pt idx="4">
                  <c:v>2021-06-08 09:15:00</c:v>
                </c:pt>
                <c:pt idx="5">
                  <c:v>2021-10-19 10:10:00</c:v>
                </c:pt>
                <c:pt idx="6">
                  <c:v>2021-06-21 12:05:00</c:v>
                </c:pt>
                <c:pt idx="7">
                  <c:v>2018-10-10 15:15:00</c:v>
                </c:pt>
                <c:pt idx="8">
                  <c:v>2021-10-18 09:15:00</c:v>
                </c:pt>
                <c:pt idx="9">
                  <c:v>2021-10-19 09:15:00</c:v>
                </c:pt>
                <c:pt idx="10">
                  <c:v>2020-03-13 09:15:00</c:v>
                </c:pt>
                <c:pt idx="11">
                  <c:v>2017-04-11 11:20:00</c:v>
                </c:pt>
                <c:pt idx="12">
                  <c:v>2024-11-21 09:15:00</c:v>
                </c:pt>
                <c:pt idx="13">
                  <c:v>2018-10-11 09:15:00</c:v>
                </c:pt>
                <c:pt idx="14">
                  <c:v>2019-01-28 09:30:00</c:v>
                </c:pt>
                <c:pt idx="15">
                  <c:v>2016-11-09 09:15:00</c:v>
                </c:pt>
                <c:pt idx="16">
                  <c:v>2018-02-06 09:15:00</c:v>
                </c:pt>
                <c:pt idx="17">
                  <c:v>2020-03-16 09:15:00</c:v>
                </c:pt>
                <c:pt idx="18">
                  <c:v>2016-04-07 11:10:00</c:v>
                </c:pt>
                <c:pt idx="19">
                  <c:v>2018-08-07 09:15:00</c:v>
                </c:pt>
              </c:strCache>
            </c:strRef>
          </c:cat>
          <c:val>
            <c:numRef>
              <c:f>'Rallies &amp; Corrections'!$B$31:$B$50</c:f>
              <c:numCache>
                <c:formatCode>General</c:formatCode>
                <c:ptCount val="20"/>
                <c:pt idx="0">
                  <c:v>18.37</c:v>
                </c:pt>
                <c:pt idx="1">
                  <c:v>15.4</c:v>
                </c:pt>
                <c:pt idx="2">
                  <c:v>13.54</c:v>
                </c:pt>
                <c:pt idx="3">
                  <c:v>12.44</c:v>
                </c:pt>
                <c:pt idx="4">
                  <c:v>12.4</c:v>
                </c:pt>
                <c:pt idx="5">
                  <c:v>10.87</c:v>
                </c:pt>
                <c:pt idx="6">
                  <c:v>10.3</c:v>
                </c:pt>
                <c:pt idx="7">
                  <c:v>10.09</c:v>
                </c:pt>
                <c:pt idx="8">
                  <c:v>10.039999999999999</c:v>
                </c:pt>
                <c:pt idx="9">
                  <c:v>9.94</c:v>
                </c:pt>
                <c:pt idx="10">
                  <c:v>-16.809999999999999</c:v>
                </c:pt>
                <c:pt idx="11">
                  <c:v>-14.75</c:v>
                </c:pt>
                <c:pt idx="12">
                  <c:v>-12.73</c:v>
                </c:pt>
                <c:pt idx="13">
                  <c:v>-12.1</c:v>
                </c:pt>
                <c:pt idx="14">
                  <c:v>-10.53</c:v>
                </c:pt>
                <c:pt idx="15">
                  <c:v>-9.6199999999999992</c:v>
                </c:pt>
                <c:pt idx="16">
                  <c:v>-9.16</c:v>
                </c:pt>
                <c:pt idx="17">
                  <c:v>-8.8000000000000007</c:v>
                </c:pt>
                <c:pt idx="18">
                  <c:v>-8.4499999999999993</c:v>
                </c:pt>
                <c:pt idx="19">
                  <c:v>-8.33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3-40DC-8C2C-BA36182EB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84744"/>
        <c:axId val="25434662"/>
      </c:barChart>
      <c:catAx>
        <c:axId val="77084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434662"/>
        <c:crosses val="autoZero"/>
        <c:auto val="1"/>
        <c:lblAlgn val="ctr"/>
        <c:lblOffset val="100"/>
        <c:noMultiLvlLbl val="0"/>
      </c:catAx>
      <c:valAx>
        <c:axId val="254346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0847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244929</xdr:colOff>
      <xdr:row>7</xdr:row>
      <xdr:rowOff>63500</xdr:rowOff>
    </xdr:from>
    <xdr:to>
      <xdr:col>8</xdr:col>
      <xdr:colOff>127001</xdr:colOff>
      <xdr:row>25</xdr:row>
      <xdr:rowOff>54429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711B6DC-65C7-3113-5251-4D2098814BDE}"/>
            </a:ext>
          </a:extLst>
        </xdr:cNvPr>
        <xdr:cNvSpPr/>
      </xdr:nvSpPr>
      <xdr:spPr>
        <a:xfrm>
          <a:off x="244929" y="1732643"/>
          <a:ext cx="8227786" cy="3283857"/>
        </a:xfrm>
        <a:prstGeom prst="rect">
          <a:avLst/>
        </a:prstGeom>
        <a:solidFill>
          <a:schemeClr val="tx2">
            <a:lumMod val="75000"/>
          </a:schemeClr>
        </a:solidFill>
        <a:ln>
          <a:solidFill>
            <a:schemeClr val="bg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     Yearly Price &amp; Growth Summary</a:t>
          </a:r>
        </a:p>
      </xdr:txBody>
    </xdr:sp>
    <xdr:clientData/>
  </xdr:twoCellAnchor>
  <xdr:twoCellAnchor editAs="oneCell">
    <xdr:from>
      <xdr:col>8</xdr:col>
      <xdr:colOff>1070429</xdr:colOff>
      <xdr:row>8</xdr:row>
      <xdr:rowOff>18144</xdr:rowOff>
    </xdr:from>
    <xdr:to>
      <xdr:col>18</xdr:col>
      <xdr:colOff>408214</xdr:colOff>
      <xdr:row>24</xdr:row>
      <xdr:rowOff>90714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807357</xdr:colOff>
      <xdr:row>27</xdr:row>
      <xdr:rowOff>130323</xdr:rowOff>
    </xdr:from>
    <xdr:to>
      <xdr:col>9</xdr:col>
      <xdr:colOff>1073885</xdr:colOff>
      <xdr:row>42</xdr:row>
      <xdr:rowOff>143632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462643</xdr:colOff>
      <xdr:row>9</xdr:row>
      <xdr:rowOff>18141</xdr:rowOff>
    </xdr:from>
    <xdr:to>
      <xdr:col>7</xdr:col>
      <xdr:colOff>834571</xdr:colOff>
      <xdr:row>24</xdr:row>
      <xdr:rowOff>27213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CD863A-E781-E142-C648-0754DA098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643" y="2050141"/>
          <a:ext cx="7756071" cy="2757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726631</xdr:colOff>
      <xdr:row>2</xdr:row>
      <xdr:rowOff>57198</xdr:rowOff>
    </xdr:from>
    <xdr:to>
      <xdr:col>7</xdr:col>
      <xdr:colOff>463994</xdr:colOff>
      <xdr:row>5</xdr:row>
      <xdr:rowOff>74123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7376CE0-538A-4EFB-9924-499DDCBCC6AB}"/>
            </a:ext>
          </a:extLst>
        </xdr:cNvPr>
        <xdr:cNvSpPr/>
      </xdr:nvSpPr>
      <xdr:spPr>
        <a:xfrm>
          <a:off x="5890675" y="710874"/>
          <a:ext cx="1959863" cy="782661"/>
        </a:xfrm>
        <a:prstGeom prst="rect">
          <a:avLst/>
        </a:prstGeom>
        <a:solidFill>
          <a:schemeClr val="tx2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0</xdr:colOff>
      <xdr:row>3</xdr:row>
      <xdr:rowOff>0</xdr:rowOff>
    </xdr:from>
    <xdr:to>
      <xdr:col>17</xdr:col>
      <xdr:colOff>605233</xdr:colOff>
      <xdr:row>6</xdr:row>
      <xdr:rowOff>168672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17826836-CAE9-4701-91F4-FB02478A82FF}"/>
            </a:ext>
          </a:extLst>
        </xdr:cNvPr>
        <xdr:cNvSpPr/>
      </xdr:nvSpPr>
      <xdr:spPr>
        <a:xfrm>
          <a:off x="13463984" y="843359"/>
          <a:ext cx="2420937" cy="823516"/>
        </a:xfrm>
        <a:prstGeom prst="rect">
          <a:avLst/>
        </a:prstGeom>
        <a:solidFill>
          <a:schemeClr val="tx2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152400</xdr:colOff>
      <xdr:row>3</xdr:row>
      <xdr:rowOff>152400</xdr:rowOff>
    </xdr:from>
    <xdr:to>
      <xdr:col>18</xdr:col>
      <xdr:colOff>152399</xdr:colOff>
      <xdr:row>7</xdr:row>
      <xdr:rowOff>132556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EB4EA9A-9D24-4BFC-A071-D73D47A904F7}"/>
            </a:ext>
          </a:extLst>
        </xdr:cNvPr>
        <xdr:cNvSpPr/>
      </xdr:nvSpPr>
      <xdr:spPr>
        <a:xfrm>
          <a:off x="13616384" y="995759"/>
          <a:ext cx="2420937" cy="823516"/>
        </a:xfrm>
        <a:prstGeom prst="rect">
          <a:avLst/>
        </a:prstGeom>
        <a:solidFill>
          <a:schemeClr val="tx2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304800</xdr:colOff>
      <xdr:row>4</xdr:row>
      <xdr:rowOff>106362</xdr:rowOff>
    </xdr:from>
    <xdr:to>
      <xdr:col>18</xdr:col>
      <xdr:colOff>304799</xdr:colOff>
      <xdr:row>8</xdr:row>
      <xdr:rowOff>96441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231531C-72D8-43A7-AA30-67A28BF81A8D}"/>
            </a:ext>
          </a:extLst>
        </xdr:cNvPr>
        <xdr:cNvSpPr/>
      </xdr:nvSpPr>
      <xdr:spPr>
        <a:xfrm>
          <a:off x="13768784" y="1148159"/>
          <a:ext cx="2420937" cy="823516"/>
        </a:xfrm>
        <a:prstGeom prst="rect">
          <a:avLst/>
        </a:prstGeom>
        <a:solidFill>
          <a:schemeClr val="tx2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457200</xdr:colOff>
      <xdr:row>4</xdr:row>
      <xdr:rowOff>258762</xdr:rowOff>
    </xdr:from>
    <xdr:to>
      <xdr:col>18</xdr:col>
      <xdr:colOff>457199</xdr:colOff>
      <xdr:row>9</xdr:row>
      <xdr:rowOff>60325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CB18A7C-1CBE-4E7E-9E76-49124305AF5D}"/>
            </a:ext>
          </a:extLst>
        </xdr:cNvPr>
        <xdr:cNvSpPr/>
      </xdr:nvSpPr>
      <xdr:spPr>
        <a:xfrm>
          <a:off x="13921184" y="1300559"/>
          <a:ext cx="2420937" cy="823516"/>
        </a:xfrm>
        <a:prstGeom prst="rect">
          <a:avLst/>
        </a:prstGeom>
        <a:solidFill>
          <a:schemeClr val="tx2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161280</xdr:rowOff>
    </xdr:from>
    <xdr:to>
      <xdr:col>5</xdr:col>
      <xdr:colOff>57960</xdr:colOff>
      <xdr:row>49</xdr:row>
      <xdr:rowOff>162360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190440</xdr:rowOff>
    </xdr:from>
    <xdr:to>
      <xdr:col>7</xdr:col>
      <xdr:colOff>229320</xdr:colOff>
      <xdr:row>18</xdr:row>
      <xdr:rowOff>7560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45</xdr:row>
      <xdr:rowOff>161280</xdr:rowOff>
    </xdr:from>
    <xdr:to>
      <xdr:col>7</xdr:col>
      <xdr:colOff>229320</xdr:colOff>
      <xdr:row>60</xdr:row>
      <xdr:rowOff>168840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175680</xdr:rowOff>
    </xdr:from>
    <xdr:to>
      <xdr:col>4</xdr:col>
      <xdr:colOff>888480</xdr:colOff>
      <xdr:row>33</xdr:row>
      <xdr:rowOff>7560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175680</xdr:rowOff>
    </xdr:from>
    <xdr:to>
      <xdr:col>4</xdr:col>
      <xdr:colOff>480960</xdr:colOff>
      <xdr:row>33</xdr:row>
      <xdr:rowOff>7560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190440</xdr:rowOff>
    </xdr:from>
    <xdr:to>
      <xdr:col>11</xdr:col>
      <xdr:colOff>351360</xdr:colOff>
      <xdr:row>21</xdr:row>
      <xdr:rowOff>156240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37</xdr:row>
      <xdr:rowOff>176040</xdr:rowOff>
    </xdr:from>
    <xdr:to>
      <xdr:col>11</xdr:col>
      <xdr:colOff>351360</xdr:colOff>
      <xdr:row>55</xdr:row>
      <xdr:rowOff>127080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3</xdr:row>
      <xdr:rowOff>44390</xdr:rowOff>
    </xdr:from>
    <xdr:to>
      <xdr:col>14</xdr:col>
      <xdr:colOff>440880</xdr:colOff>
      <xdr:row>25</xdr:row>
      <xdr:rowOff>162860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V23"/>
  <sheetViews>
    <sheetView showGridLines="0" tabSelected="1" zoomScale="68" zoomScaleNormal="100" workbookViewId="0">
      <selection activeCell="P29" sqref="P29"/>
    </sheetView>
  </sheetViews>
  <sheetFormatPr defaultColWidth="8.6328125" defaultRowHeight="14.5" x14ac:dyDescent="0.35"/>
  <cols>
    <col min="1" max="1" width="17.7265625" style="24" customWidth="1"/>
    <col min="2" max="5" width="14" style="24" customWidth="1"/>
    <col min="6" max="6" width="16.54296875" style="24" customWidth="1"/>
    <col min="7" max="7" width="15.26953125" style="24" customWidth="1"/>
    <col min="8" max="8" width="13.81640625" style="24" customWidth="1"/>
    <col min="9" max="9" width="18.453125" style="24" customWidth="1"/>
    <col min="10" max="10" width="20" style="24" customWidth="1"/>
    <col min="11" max="16384" width="8.6328125" style="24"/>
  </cols>
  <sheetData>
    <row r="1" spans="1:22" ht="33.75" customHeight="1" x14ac:dyDescent="0.3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9"/>
      <c r="K1" s="35"/>
      <c r="L1" s="36"/>
      <c r="M1" s="36"/>
      <c r="N1" s="36"/>
      <c r="O1" s="36"/>
      <c r="P1" s="36"/>
      <c r="Q1" s="36"/>
      <c r="R1" s="36"/>
      <c r="S1" s="36"/>
      <c r="T1" s="36"/>
      <c r="U1" s="36"/>
      <c r="V1" s="37"/>
    </row>
    <row r="2" spans="1:22" ht="18" customHeight="1" x14ac:dyDescent="0.35">
      <c r="A2" s="42" t="s">
        <v>1</v>
      </c>
      <c r="B2" s="43"/>
      <c r="C2" s="43"/>
      <c r="D2" s="43"/>
      <c r="E2" s="43"/>
      <c r="F2" s="43"/>
      <c r="G2" s="44"/>
      <c r="H2" s="44"/>
      <c r="I2" s="44"/>
      <c r="J2" s="44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1"/>
    </row>
    <row r="3" spans="1:22" x14ac:dyDescent="0.35">
      <c r="A3" s="34"/>
    </row>
    <row r="4" spans="1:22" ht="15.75" customHeight="1" x14ac:dyDescent="0.35">
      <c r="A4" s="52" t="s">
        <v>2</v>
      </c>
      <c r="B4" s="49"/>
      <c r="C4" s="49" t="s">
        <v>3</v>
      </c>
      <c r="D4" s="49"/>
      <c r="E4" s="49" t="s">
        <v>4</v>
      </c>
      <c r="F4" s="49"/>
      <c r="G4" s="49" t="s">
        <v>5</v>
      </c>
      <c r="H4" s="49"/>
      <c r="I4" s="49" t="s">
        <v>6</v>
      </c>
      <c r="J4" s="49"/>
      <c r="K4" s="50"/>
    </row>
    <row r="5" spans="1:22" ht="30" customHeight="1" x14ac:dyDescent="0.35">
      <c r="A5" s="48" t="s">
        <v>7</v>
      </c>
      <c r="B5" s="51"/>
      <c r="C5" s="51" t="s">
        <v>8</v>
      </c>
      <c r="D5" s="51"/>
      <c r="E5" s="51" t="s">
        <v>9</v>
      </c>
      <c r="F5" s="51"/>
      <c r="G5" s="51" t="s">
        <v>10</v>
      </c>
      <c r="H5" s="51"/>
      <c r="I5" s="51" t="s">
        <v>11</v>
      </c>
      <c r="J5" s="51"/>
      <c r="K5" s="50"/>
      <c r="L5" s="45"/>
      <c r="M5" s="46"/>
      <c r="N5" s="47"/>
      <c r="O5" s="45"/>
      <c r="P5" s="45"/>
      <c r="Q5" s="45"/>
      <c r="R5" s="45"/>
    </row>
    <row r="6" spans="1:22" ht="6" customHeight="1" x14ac:dyDescent="0.35">
      <c r="A6" s="51"/>
      <c r="B6" s="51"/>
      <c r="C6" s="51"/>
      <c r="D6" s="51"/>
      <c r="E6" s="51"/>
      <c r="F6" s="51"/>
      <c r="G6" s="51"/>
      <c r="H6" s="51"/>
      <c r="I6" s="51"/>
      <c r="J6" s="51"/>
      <c r="K6" s="50"/>
    </row>
    <row r="8" spans="1:22" x14ac:dyDescent="0.35">
      <c r="F8" s="26"/>
    </row>
    <row r="10" spans="1:22" ht="16.5" x14ac:dyDescent="0.35">
      <c r="A10" s="25"/>
      <c r="B10" s="26"/>
      <c r="C10" s="26"/>
      <c r="D10" s="26"/>
      <c r="E10" s="26"/>
      <c r="F10" s="26"/>
    </row>
    <row r="11" spans="1:22" x14ac:dyDescent="0.35">
      <c r="B11" s="27" t="s">
        <v>12</v>
      </c>
      <c r="C11" s="27" t="s">
        <v>13</v>
      </c>
      <c r="D11" s="27" t="s">
        <v>14</v>
      </c>
      <c r="E11" s="27" t="s">
        <v>15</v>
      </c>
      <c r="F11" s="27" t="s">
        <v>16</v>
      </c>
      <c r="G11" s="27" t="s">
        <v>17</v>
      </c>
    </row>
    <row r="12" spans="1:22" x14ac:dyDescent="0.35">
      <c r="B12" s="28">
        <v>2015</v>
      </c>
      <c r="C12" s="29">
        <v>10.45</v>
      </c>
      <c r="D12" s="29">
        <v>6.35</v>
      </c>
      <c r="E12" s="30">
        <v>-39.229999999999997</v>
      </c>
      <c r="F12" s="29">
        <v>6.9890163354365802</v>
      </c>
      <c r="G12" s="29">
        <v>0.03</v>
      </c>
    </row>
    <row r="13" spans="1:22" x14ac:dyDescent="0.35">
      <c r="B13" s="31">
        <v>2016</v>
      </c>
      <c r="C13" s="32">
        <v>6.75</v>
      </c>
      <c r="D13" s="32">
        <v>6</v>
      </c>
      <c r="E13" s="33">
        <v>-11.11</v>
      </c>
      <c r="F13" s="32">
        <v>5.7876516016750399</v>
      </c>
      <c r="G13" s="32">
        <v>0.02</v>
      </c>
    </row>
    <row r="14" spans="1:22" x14ac:dyDescent="0.35">
      <c r="B14" s="28">
        <v>2017</v>
      </c>
      <c r="C14" s="29">
        <v>6</v>
      </c>
      <c r="D14" s="29">
        <v>8.3000000000000007</v>
      </c>
      <c r="E14" s="30">
        <v>38.33</v>
      </c>
      <c r="F14" s="29">
        <v>6.6251040821844596</v>
      </c>
      <c r="G14" s="29">
        <v>0.03</v>
      </c>
    </row>
    <row r="15" spans="1:22" x14ac:dyDescent="0.35">
      <c r="B15" s="31">
        <v>2018</v>
      </c>
      <c r="C15" s="32">
        <v>8.3000000000000007</v>
      </c>
      <c r="D15" s="32">
        <v>10.15</v>
      </c>
      <c r="E15" s="33">
        <v>22.29</v>
      </c>
      <c r="F15" s="32">
        <v>6.3539511611464299</v>
      </c>
      <c r="G15" s="32">
        <v>0.04</v>
      </c>
    </row>
    <row r="16" spans="1:22" x14ac:dyDescent="0.35">
      <c r="B16" s="28">
        <v>2019</v>
      </c>
      <c r="C16" s="29">
        <v>10.15</v>
      </c>
      <c r="D16" s="29">
        <v>12.2</v>
      </c>
      <c r="E16" s="30">
        <v>20.2</v>
      </c>
      <c r="F16" s="29">
        <v>10.907845439650499</v>
      </c>
      <c r="G16" s="29">
        <v>0.05</v>
      </c>
    </row>
    <row r="17" spans="2:7" x14ac:dyDescent="0.35">
      <c r="B17" s="31">
        <v>2020</v>
      </c>
      <c r="C17" s="32">
        <v>12.45</v>
      </c>
      <c r="D17" s="32">
        <v>10</v>
      </c>
      <c r="E17" s="33">
        <v>-19.68</v>
      </c>
      <c r="F17" s="32">
        <v>8.2140066964284593</v>
      </c>
      <c r="G17" s="32">
        <v>0.04</v>
      </c>
    </row>
    <row r="18" spans="2:7" x14ac:dyDescent="0.35">
      <c r="B18" s="28">
        <v>2021</v>
      </c>
      <c r="C18" s="29">
        <v>10.050000000000001</v>
      </c>
      <c r="D18" s="29">
        <v>19.899999999999999</v>
      </c>
      <c r="E18" s="30">
        <v>98.01</v>
      </c>
      <c r="F18" s="29">
        <v>18.550753768844402</v>
      </c>
      <c r="G18" s="29">
        <v>0.08</v>
      </c>
    </row>
    <row r="19" spans="2:7" x14ac:dyDescent="0.35">
      <c r="B19" s="31">
        <v>2022</v>
      </c>
      <c r="C19" s="32">
        <v>20.149999999999999</v>
      </c>
      <c r="D19" s="32">
        <v>60.15</v>
      </c>
      <c r="E19" s="33">
        <v>198.51</v>
      </c>
      <c r="F19" s="32">
        <v>53.696735905044299</v>
      </c>
      <c r="G19" s="32">
        <v>0.24</v>
      </c>
    </row>
    <row r="20" spans="2:7" x14ac:dyDescent="0.35">
      <c r="B20" s="28">
        <v>2023</v>
      </c>
      <c r="C20" s="29">
        <v>60.85</v>
      </c>
      <c r="D20" s="29">
        <v>104.6</v>
      </c>
      <c r="E20" s="30">
        <v>71.900000000000006</v>
      </c>
      <c r="F20" s="29">
        <v>58.513713493229098</v>
      </c>
      <c r="G20" s="29">
        <v>0.22</v>
      </c>
    </row>
    <row r="21" spans="2:7" x14ac:dyDescent="0.35">
      <c r="B21" s="31">
        <v>2024</v>
      </c>
      <c r="C21" s="32">
        <v>104.4</v>
      </c>
      <c r="D21" s="32">
        <v>108.6</v>
      </c>
      <c r="E21" s="33">
        <v>4.0199999999999996</v>
      </c>
      <c r="F21" s="32">
        <v>123.12414342844799</v>
      </c>
      <c r="G21" s="32">
        <v>0.47</v>
      </c>
    </row>
    <row r="22" spans="2:7" x14ac:dyDescent="0.35">
      <c r="B22" s="28">
        <v>2025</v>
      </c>
      <c r="C22" s="29">
        <v>105.6</v>
      </c>
      <c r="D22" s="29">
        <v>144.25</v>
      </c>
      <c r="E22" s="30">
        <v>36.6</v>
      </c>
      <c r="F22" s="29">
        <v>121.478781431334</v>
      </c>
      <c r="G22" s="29">
        <v>0.37</v>
      </c>
    </row>
    <row r="23" spans="2:7" x14ac:dyDescent="0.35">
      <c r="B23" s="31">
        <v>2026</v>
      </c>
      <c r="C23" s="32">
        <v>143.15</v>
      </c>
      <c r="D23" s="32">
        <v>169.5</v>
      </c>
      <c r="E23" s="33">
        <v>18.41</v>
      </c>
      <c r="F23" s="32">
        <v>145.706412556054</v>
      </c>
      <c r="G23" s="32">
        <v>0.47</v>
      </c>
    </row>
  </sheetData>
  <conditionalFormatting sqref="E12:E23">
    <cfRule type="cellIs" dxfId="9" priority="2" operator="greaterThanOrEqual">
      <formula>0</formula>
    </cfRule>
    <cfRule type="cellIs" dxfId="8" priority="3" operator="lessThan">
      <formula>0</formula>
    </cfRule>
  </conditionalFormatting>
  <conditionalFormatting sqref="G12:G2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{B89CE067-50CC-49DF-89FE-BF907775A7F1}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9CE067-50CC-49DF-89FE-BF907775A7F1}">
            <x14:dataBar axisPosition="none">
              <x14:cfvo type="min"/>
              <x14:cfvo type="max"/>
              <x14:negativeFillColor rgb="FF638EC6"/>
            </x14:dataBar>
          </x14:cfRule>
          <xm:sqref>G12:G23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10" customWidth="1"/>
    <col min="2" max="4" width="20" customWidth="1"/>
    <col min="5" max="5" width="16" customWidth="1"/>
    <col min="6" max="6" width="38" customWidth="1"/>
  </cols>
  <sheetData>
    <row r="1" spans="1:8" ht="33.75" customHeight="1" x14ac:dyDescent="0.35">
      <c r="A1" s="53" t="s">
        <v>18</v>
      </c>
      <c r="B1" s="53"/>
      <c r="C1" s="53"/>
      <c r="D1" s="53"/>
      <c r="E1" s="53"/>
      <c r="F1" s="53"/>
      <c r="G1" s="53"/>
      <c r="H1" s="53"/>
    </row>
    <row r="2" spans="1:8" ht="18" customHeight="1" x14ac:dyDescent="0.35">
      <c r="A2" s="54" t="s">
        <v>19</v>
      </c>
      <c r="B2" s="54"/>
      <c r="C2" s="54"/>
      <c r="D2" s="54"/>
      <c r="E2" s="54"/>
      <c r="F2" s="54"/>
      <c r="G2" s="54"/>
      <c r="H2" s="54"/>
    </row>
    <row r="3" spans="1:8" ht="16.5" x14ac:dyDescent="0.35">
      <c r="A3" s="2" t="s">
        <v>20</v>
      </c>
    </row>
    <row r="4" spans="1:8" x14ac:dyDescent="0.35">
      <c r="A4" s="3" t="s">
        <v>12</v>
      </c>
      <c r="B4" s="3" t="s">
        <v>21</v>
      </c>
      <c r="C4" s="3" t="s">
        <v>22</v>
      </c>
      <c r="D4" s="3" t="s">
        <v>23</v>
      </c>
      <c r="E4" s="3" t="s">
        <v>24</v>
      </c>
    </row>
    <row r="5" spans="1:8" x14ac:dyDescent="0.35">
      <c r="A5" s="7">
        <v>2015</v>
      </c>
      <c r="B5" s="7" t="s">
        <v>25</v>
      </c>
      <c r="C5" s="7" t="s">
        <v>26</v>
      </c>
      <c r="D5" s="8">
        <v>8.0500000000000007</v>
      </c>
      <c r="E5" s="9">
        <v>203.8</v>
      </c>
    </row>
    <row r="6" spans="1:8" x14ac:dyDescent="0.35">
      <c r="A6" s="4">
        <v>2016</v>
      </c>
      <c r="B6" s="4" t="s">
        <v>27</v>
      </c>
      <c r="C6" s="4" t="s">
        <v>28</v>
      </c>
      <c r="D6" s="5">
        <v>2.6</v>
      </c>
      <c r="E6" s="6">
        <v>57.14</v>
      </c>
    </row>
    <row r="7" spans="1:8" x14ac:dyDescent="0.35">
      <c r="A7" s="7">
        <v>2017</v>
      </c>
      <c r="B7" s="7" t="s">
        <v>29</v>
      </c>
      <c r="C7" s="7" t="s">
        <v>30</v>
      </c>
      <c r="D7" s="8">
        <v>4</v>
      </c>
      <c r="E7" s="9">
        <v>76.92</v>
      </c>
    </row>
    <row r="8" spans="1:8" x14ac:dyDescent="0.35">
      <c r="A8" s="4">
        <v>2018</v>
      </c>
      <c r="B8" s="4" t="s">
        <v>31</v>
      </c>
      <c r="C8" s="4" t="s">
        <v>32</v>
      </c>
      <c r="D8" s="5">
        <v>8.5500000000000007</v>
      </c>
      <c r="E8" s="6">
        <v>280.33</v>
      </c>
    </row>
    <row r="9" spans="1:8" x14ac:dyDescent="0.35">
      <c r="A9" s="7">
        <v>2019</v>
      </c>
      <c r="B9" s="7" t="s">
        <v>33</v>
      </c>
      <c r="C9" s="7" t="s">
        <v>34</v>
      </c>
      <c r="D9" s="8">
        <v>8</v>
      </c>
      <c r="E9" s="9">
        <v>119.4</v>
      </c>
    </row>
    <row r="10" spans="1:8" x14ac:dyDescent="0.35">
      <c r="A10" s="4">
        <v>2020</v>
      </c>
      <c r="B10" s="4" t="s">
        <v>35</v>
      </c>
      <c r="C10" s="4" t="s">
        <v>36</v>
      </c>
      <c r="D10" s="5">
        <v>8.25</v>
      </c>
      <c r="E10" s="6">
        <v>168.37</v>
      </c>
    </row>
    <row r="11" spans="1:8" x14ac:dyDescent="0.35">
      <c r="A11" s="7">
        <v>2021</v>
      </c>
      <c r="B11" s="7" t="s">
        <v>37</v>
      </c>
      <c r="C11" s="7" t="s">
        <v>38</v>
      </c>
      <c r="D11" s="8">
        <v>23.7</v>
      </c>
      <c r="E11" s="9">
        <v>244.33</v>
      </c>
    </row>
    <row r="12" spans="1:8" x14ac:dyDescent="0.35">
      <c r="A12" s="4">
        <v>2022</v>
      </c>
      <c r="B12" s="4" t="s">
        <v>39</v>
      </c>
      <c r="C12" s="4" t="s">
        <v>40</v>
      </c>
      <c r="D12" s="5">
        <v>66.75</v>
      </c>
      <c r="E12" s="6">
        <v>337.97</v>
      </c>
    </row>
    <row r="13" spans="1:8" x14ac:dyDescent="0.35">
      <c r="A13" s="7">
        <v>2023</v>
      </c>
      <c r="B13" s="7" t="s">
        <v>41</v>
      </c>
      <c r="C13" s="7" t="s">
        <v>42</v>
      </c>
      <c r="D13" s="8">
        <v>90.05</v>
      </c>
      <c r="E13" s="9">
        <v>339.81</v>
      </c>
    </row>
    <row r="14" spans="1:8" x14ac:dyDescent="0.35">
      <c r="A14" s="4">
        <v>2024</v>
      </c>
      <c r="B14" s="4" t="s">
        <v>43</v>
      </c>
      <c r="C14" s="4" t="s">
        <v>44</v>
      </c>
      <c r="D14" s="5">
        <v>92.25</v>
      </c>
      <c r="E14" s="6">
        <v>106.16</v>
      </c>
    </row>
    <row r="15" spans="1:8" x14ac:dyDescent="0.35">
      <c r="A15" s="7">
        <v>2025</v>
      </c>
      <c r="B15" s="7" t="s">
        <v>45</v>
      </c>
      <c r="C15" s="7" t="s">
        <v>46</v>
      </c>
      <c r="D15" s="8">
        <v>83.46</v>
      </c>
      <c r="E15" s="9">
        <v>92.94</v>
      </c>
    </row>
    <row r="16" spans="1:8" x14ac:dyDescent="0.35">
      <c r="A16" s="4">
        <v>2026</v>
      </c>
      <c r="B16" s="4" t="s">
        <v>45</v>
      </c>
      <c r="C16" s="4" t="s">
        <v>47</v>
      </c>
      <c r="D16" s="5">
        <v>83.46</v>
      </c>
      <c r="E16" s="6">
        <v>92.94</v>
      </c>
    </row>
    <row r="18" spans="1:6" ht="16.5" x14ac:dyDescent="0.35">
      <c r="A18" s="2" t="s">
        <v>48</v>
      </c>
      <c r="F18" s="10" t="s">
        <v>49</v>
      </c>
    </row>
    <row r="19" spans="1:6" x14ac:dyDescent="0.35">
      <c r="A19" s="3" t="s">
        <v>12</v>
      </c>
      <c r="B19" s="3" t="s">
        <v>50</v>
      </c>
      <c r="C19" s="3" t="s">
        <v>51</v>
      </c>
      <c r="D19" s="3" t="s">
        <v>52</v>
      </c>
      <c r="F19" s="11" t="s">
        <v>53</v>
      </c>
    </row>
    <row r="20" spans="1:6" x14ac:dyDescent="0.35">
      <c r="A20" s="4">
        <v>2015</v>
      </c>
      <c r="B20" s="5">
        <v>10.45</v>
      </c>
      <c r="C20" s="5">
        <v>6.35</v>
      </c>
      <c r="D20" s="6">
        <v>-39.229999999999997</v>
      </c>
      <c r="F20" s="12" t="s">
        <v>54</v>
      </c>
    </row>
    <row r="21" spans="1:6" x14ac:dyDescent="0.35">
      <c r="A21" s="7">
        <v>2016</v>
      </c>
      <c r="B21" s="8">
        <v>6.75</v>
      </c>
      <c r="C21" s="8">
        <v>6</v>
      </c>
      <c r="D21" s="9">
        <v>-11.11</v>
      </c>
    </row>
    <row r="22" spans="1:6" x14ac:dyDescent="0.35">
      <c r="A22" s="4">
        <v>2017</v>
      </c>
      <c r="B22" s="5">
        <v>6</v>
      </c>
      <c r="C22" s="5">
        <v>8.3000000000000007</v>
      </c>
      <c r="D22" s="6">
        <v>38.33</v>
      </c>
    </row>
    <row r="23" spans="1:6" x14ac:dyDescent="0.35">
      <c r="A23" s="7">
        <v>2018</v>
      </c>
      <c r="B23" s="8">
        <v>8.3000000000000007</v>
      </c>
      <c r="C23" s="8">
        <v>10.15</v>
      </c>
      <c r="D23" s="9">
        <v>22.29</v>
      </c>
    </row>
    <row r="24" spans="1:6" x14ac:dyDescent="0.35">
      <c r="A24" s="4">
        <v>2019</v>
      </c>
      <c r="B24" s="5">
        <v>10.15</v>
      </c>
      <c r="C24" s="5">
        <v>12.2</v>
      </c>
      <c r="D24" s="6">
        <v>20.2</v>
      </c>
    </row>
    <row r="25" spans="1:6" x14ac:dyDescent="0.35">
      <c r="A25" s="7">
        <v>2020</v>
      </c>
      <c r="B25" s="8">
        <v>12.45</v>
      </c>
      <c r="C25" s="8">
        <v>10</v>
      </c>
      <c r="D25" s="9">
        <v>-19.68</v>
      </c>
    </row>
    <row r="26" spans="1:6" x14ac:dyDescent="0.35">
      <c r="A26" s="4">
        <v>2021</v>
      </c>
      <c r="B26" s="5">
        <v>10.050000000000001</v>
      </c>
      <c r="C26" s="5">
        <v>19.899999999999999</v>
      </c>
      <c r="D26" s="6">
        <v>98.01</v>
      </c>
    </row>
    <row r="27" spans="1:6" x14ac:dyDescent="0.35">
      <c r="A27" s="7">
        <v>2022</v>
      </c>
      <c r="B27" s="8">
        <v>20.149999999999999</v>
      </c>
      <c r="C27" s="8">
        <v>60.15</v>
      </c>
      <c r="D27" s="9">
        <v>198.51</v>
      </c>
    </row>
    <row r="28" spans="1:6" x14ac:dyDescent="0.35">
      <c r="A28" s="4">
        <v>2023</v>
      </c>
      <c r="B28" s="5">
        <v>60.85</v>
      </c>
      <c r="C28" s="5">
        <v>104.6</v>
      </c>
      <c r="D28" s="6">
        <v>71.900000000000006</v>
      </c>
    </row>
    <row r="29" spans="1:6" x14ac:dyDescent="0.35">
      <c r="A29" s="7">
        <v>2024</v>
      </c>
      <c r="B29" s="8">
        <v>104.4</v>
      </c>
      <c r="C29" s="8">
        <v>108.6</v>
      </c>
      <c r="D29" s="9">
        <v>4.0199999999999996</v>
      </c>
    </row>
    <row r="30" spans="1:6" x14ac:dyDescent="0.35">
      <c r="A30" s="4">
        <v>2025</v>
      </c>
      <c r="B30" s="5">
        <v>105.6</v>
      </c>
      <c r="C30" s="5">
        <v>144.25</v>
      </c>
      <c r="D30" s="6">
        <v>36.6</v>
      </c>
    </row>
    <row r="31" spans="1:6" x14ac:dyDescent="0.35">
      <c r="A31" s="7">
        <v>2026</v>
      </c>
      <c r="B31" s="8">
        <v>143.15</v>
      </c>
      <c r="C31" s="8">
        <v>169.5</v>
      </c>
      <c r="D31" s="9">
        <v>18.41</v>
      </c>
    </row>
  </sheetData>
  <mergeCells count="2">
    <mergeCell ref="A1:H1"/>
    <mergeCell ref="A2:H2"/>
  </mergeCells>
  <conditionalFormatting sqref="D20:D31">
    <cfRule type="cellIs" dxfId="7" priority="4" operator="greaterThanOrEqual">
      <formula>0</formula>
    </cfRule>
    <cfRule type="cellIs" dxfId="6" priority="5" operator="lessThan">
      <formula>0</formula>
    </cfRule>
  </conditionalFormatting>
  <conditionalFormatting sqref="E5:E16">
    <cfRule type="cellIs" dxfId="5" priority="2" operator="greaterThanOrEqual">
      <formula>0</formula>
    </cfRule>
    <cfRule type="cellIs" dxfId="4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4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16" customWidth="1"/>
    <col min="2" max="2" width="22" customWidth="1"/>
    <col min="3" max="3" width="18" customWidth="1"/>
    <col min="4" max="4" width="16" customWidth="1"/>
    <col min="5" max="5" width="40" customWidth="1"/>
  </cols>
  <sheetData>
    <row r="1" spans="1:8" ht="33.75" customHeight="1" x14ac:dyDescent="0.35">
      <c r="A1" s="53" t="s">
        <v>55</v>
      </c>
      <c r="B1" s="53"/>
      <c r="C1" s="53"/>
      <c r="D1" s="53"/>
      <c r="E1" s="53"/>
      <c r="F1" s="53"/>
      <c r="G1" s="53"/>
      <c r="H1" s="53"/>
    </row>
    <row r="2" spans="1:8" ht="18" customHeight="1" x14ac:dyDescent="0.35">
      <c r="A2" s="54" t="s">
        <v>56</v>
      </c>
      <c r="B2" s="54"/>
      <c r="C2" s="54"/>
      <c r="D2" s="54"/>
      <c r="E2" s="54"/>
      <c r="F2" s="54"/>
      <c r="G2" s="54"/>
      <c r="H2" s="54"/>
    </row>
    <row r="3" spans="1:8" ht="16.5" x14ac:dyDescent="0.35">
      <c r="A3" s="2" t="s">
        <v>57</v>
      </c>
    </row>
    <row r="4" spans="1:8" x14ac:dyDescent="0.35">
      <c r="A4" s="3" t="s">
        <v>58</v>
      </c>
      <c r="B4" s="3" t="s">
        <v>59</v>
      </c>
    </row>
    <row r="5" spans="1:8" x14ac:dyDescent="0.35">
      <c r="A5" s="7" t="s">
        <v>60</v>
      </c>
      <c r="B5" s="8">
        <v>43.958181818181799</v>
      </c>
    </row>
    <row r="6" spans="1:8" x14ac:dyDescent="0.35">
      <c r="A6" s="4" t="s">
        <v>61</v>
      </c>
      <c r="B6" s="5">
        <v>39.349166666666697</v>
      </c>
    </row>
    <row r="7" spans="1:8" x14ac:dyDescent="0.35">
      <c r="A7" s="7" t="s">
        <v>62</v>
      </c>
      <c r="B7" s="8">
        <v>40.355833333333301</v>
      </c>
    </row>
    <row r="8" spans="1:8" x14ac:dyDescent="0.35">
      <c r="A8" s="4" t="s">
        <v>63</v>
      </c>
      <c r="B8" s="5">
        <v>45.201666666666704</v>
      </c>
    </row>
    <row r="9" spans="1:8" x14ac:dyDescent="0.35">
      <c r="A9" s="7" t="s">
        <v>64</v>
      </c>
      <c r="B9" s="8">
        <v>36.8645454545455</v>
      </c>
    </row>
    <row r="10" spans="1:8" x14ac:dyDescent="0.35">
      <c r="A10" s="4" t="s">
        <v>65</v>
      </c>
      <c r="B10" s="5">
        <v>39.358181818181798</v>
      </c>
    </row>
    <row r="11" spans="1:8" x14ac:dyDescent="0.35">
      <c r="A11" s="7" t="s">
        <v>66</v>
      </c>
      <c r="B11" s="8">
        <v>39.1145454545455</v>
      </c>
    </row>
    <row r="12" spans="1:8" x14ac:dyDescent="0.35">
      <c r="A12" s="4" t="s">
        <v>67</v>
      </c>
      <c r="B12" s="5">
        <v>40.743636363636398</v>
      </c>
    </row>
    <row r="13" spans="1:8" x14ac:dyDescent="0.35">
      <c r="A13" s="7" t="s">
        <v>68</v>
      </c>
      <c r="B13" s="8">
        <v>43.607272727272701</v>
      </c>
    </row>
    <row r="14" spans="1:8" x14ac:dyDescent="0.35">
      <c r="A14" s="4" t="s">
        <v>69</v>
      </c>
      <c r="B14" s="5">
        <v>44.089090909090899</v>
      </c>
    </row>
    <row r="15" spans="1:8" x14ac:dyDescent="0.35">
      <c r="A15" s="7" t="s">
        <v>70</v>
      </c>
      <c r="B15" s="8">
        <v>43.3481818181818</v>
      </c>
    </row>
    <row r="16" spans="1:8" x14ac:dyDescent="0.35">
      <c r="A16" s="4" t="s">
        <v>71</v>
      </c>
      <c r="B16" s="5">
        <v>44.141818181818202</v>
      </c>
    </row>
    <row r="34" spans="1:5" ht="16.5" x14ac:dyDescent="0.35">
      <c r="A34" s="2" t="s">
        <v>72</v>
      </c>
      <c r="E34" s="10" t="s">
        <v>73</v>
      </c>
    </row>
    <row r="35" spans="1:5" x14ac:dyDescent="0.35">
      <c r="A35" s="3" t="s">
        <v>12</v>
      </c>
      <c r="B35" s="3" t="s">
        <v>74</v>
      </c>
      <c r="C35" s="3" t="s">
        <v>75</v>
      </c>
    </row>
    <row r="36" spans="1:5" x14ac:dyDescent="0.35">
      <c r="A36" s="4">
        <v>2026</v>
      </c>
      <c r="B36" s="4" t="s">
        <v>76</v>
      </c>
      <c r="C36" s="5">
        <v>162.1</v>
      </c>
    </row>
    <row r="37" spans="1:5" x14ac:dyDescent="0.35">
      <c r="A37" s="7">
        <v>2025</v>
      </c>
      <c r="B37" s="7" t="s">
        <v>77</v>
      </c>
      <c r="C37" s="8">
        <v>157.58000000000001</v>
      </c>
    </row>
    <row r="38" spans="1:5" x14ac:dyDescent="0.35">
      <c r="A38" s="4">
        <v>2025</v>
      </c>
      <c r="B38" s="4" t="s">
        <v>78</v>
      </c>
      <c r="C38" s="5">
        <v>151.66999999999999</v>
      </c>
    </row>
    <row r="39" spans="1:5" x14ac:dyDescent="0.35">
      <c r="A39" s="7">
        <v>2024</v>
      </c>
      <c r="B39" s="7" t="s">
        <v>79</v>
      </c>
      <c r="C39" s="8">
        <v>150.16</v>
      </c>
    </row>
    <row r="40" spans="1:5" x14ac:dyDescent="0.35">
      <c r="A40" s="4">
        <v>2026</v>
      </c>
      <c r="B40" s="4" t="s">
        <v>80</v>
      </c>
      <c r="C40" s="5">
        <v>146.82</v>
      </c>
    </row>
    <row r="41" spans="1:5" x14ac:dyDescent="0.35">
      <c r="A41" s="7">
        <v>2026</v>
      </c>
      <c r="B41" s="7" t="s">
        <v>81</v>
      </c>
      <c r="C41" s="8">
        <v>144.6</v>
      </c>
    </row>
    <row r="42" spans="1:5" x14ac:dyDescent="0.35">
      <c r="A42" s="4">
        <v>2025</v>
      </c>
      <c r="B42" s="4" t="s">
        <v>82</v>
      </c>
      <c r="C42" s="5">
        <v>143.11000000000001</v>
      </c>
    </row>
    <row r="43" spans="1:5" x14ac:dyDescent="0.35">
      <c r="A43" s="7">
        <v>2024</v>
      </c>
      <c r="B43" s="7" t="s">
        <v>83</v>
      </c>
      <c r="C43" s="8">
        <v>142.63999999999999</v>
      </c>
    </row>
    <row r="44" spans="1:5" x14ac:dyDescent="0.35">
      <c r="A44" s="4">
        <v>2026</v>
      </c>
      <c r="B44" s="4" t="s">
        <v>84</v>
      </c>
      <c r="C44" s="5">
        <v>141.37</v>
      </c>
    </row>
    <row r="45" spans="1:5" x14ac:dyDescent="0.35">
      <c r="A45" s="7">
        <v>2024</v>
      </c>
      <c r="B45" s="7" t="s">
        <v>85</v>
      </c>
      <c r="C45" s="8">
        <v>137.04</v>
      </c>
    </row>
    <row r="47" spans="1:5" ht="16.5" x14ac:dyDescent="0.35">
      <c r="A47" s="2" t="s">
        <v>86</v>
      </c>
    </row>
    <row r="48" spans="1:5" x14ac:dyDescent="0.35">
      <c r="A48" s="3" t="s">
        <v>58</v>
      </c>
      <c r="B48" s="3" t="s">
        <v>87</v>
      </c>
    </row>
    <row r="49" spans="1:2" x14ac:dyDescent="0.35">
      <c r="A49" s="7" t="s">
        <v>60</v>
      </c>
      <c r="B49" s="13">
        <v>10884694799</v>
      </c>
    </row>
    <row r="50" spans="1:2" x14ac:dyDescent="0.35">
      <c r="A50" s="4" t="s">
        <v>61</v>
      </c>
      <c r="B50" s="14">
        <v>15262967636</v>
      </c>
    </row>
    <row r="51" spans="1:2" x14ac:dyDescent="0.35">
      <c r="A51" s="7" t="s">
        <v>62</v>
      </c>
      <c r="B51" s="13">
        <v>17568707779</v>
      </c>
    </row>
    <row r="52" spans="1:2" x14ac:dyDescent="0.35">
      <c r="A52" s="4" t="s">
        <v>63</v>
      </c>
      <c r="B52" s="14">
        <v>16650990749</v>
      </c>
    </row>
    <row r="53" spans="1:2" x14ac:dyDescent="0.35">
      <c r="A53" s="7" t="s">
        <v>64</v>
      </c>
      <c r="B53" s="13">
        <v>14733259205</v>
      </c>
    </row>
    <row r="54" spans="1:2" x14ac:dyDescent="0.35">
      <c r="A54" s="4" t="s">
        <v>65</v>
      </c>
      <c r="B54" s="14">
        <v>15156684760</v>
      </c>
    </row>
    <row r="55" spans="1:2" x14ac:dyDescent="0.35">
      <c r="A55" s="7" t="s">
        <v>66</v>
      </c>
      <c r="B55" s="13">
        <v>14164124595</v>
      </c>
    </row>
    <row r="56" spans="1:2" x14ac:dyDescent="0.35">
      <c r="A56" s="4" t="s">
        <v>67</v>
      </c>
      <c r="B56" s="14">
        <v>14656761280</v>
      </c>
    </row>
    <row r="57" spans="1:2" x14ac:dyDescent="0.35">
      <c r="A57" s="7" t="s">
        <v>68</v>
      </c>
      <c r="B57" s="13">
        <v>11041419051</v>
      </c>
    </row>
    <row r="58" spans="1:2" x14ac:dyDescent="0.35">
      <c r="A58" s="4" t="s">
        <v>69</v>
      </c>
      <c r="B58" s="14">
        <v>11310175236</v>
      </c>
    </row>
    <row r="59" spans="1:2" x14ac:dyDescent="0.35">
      <c r="A59" s="7" t="s">
        <v>70</v>
      </c>
      <c r="B59" s="13">
        <v>11270026245</v>
      </c>
    </row>
    <row r="60" spans="1:2" x14ac:dyDescent="0.35">
      <c r="A60" s="4" t="s">
        <v>71</v>
      </c>
      <c r="B60" s="14">
        <v>11262771758</v>
      </c>
    </row>
    <row r="78" spans="1:3" ht="16.5" x14ac:dyDescent="0.35">
      <c r="A78" s="2" t="s">
        <v>88</v>
      </c>
    </row>
    <row r="79" spans="1:3" x14ac:dyDescent="0.35">
      <c r="A79" s="3" t="s">
        <v>12</v>
      </c>
      <c r="B79" s="3" t="s">
        <v>74</v>
      </c>
      <c r="C79" s="3" t="s">
        <v>89</v>
      </c>
    </row>
    <row r="80" spans="1:3" x14ac:dyDescent="0.35">
      <c r="A80" s="4">
        <v>2022</v>
      </c>
      <c r="B80" s="4" t="s">
        <v>90</v>
      </c>
      <c r="C80" s="14">
        <v>5979255570</v>
      </c>
    </row>
    <row r="81" spans="1:3" x14ac:dyDescent="0.35">
      <c r="A81" s="7">
        <v>2022</v>
      </c>
      <c r="B81" s="7" t="s">
        <v>91</v>
      </c>
      <c r="C81" s="13">
        <v>5550211205</v>
      </c>
    </row>
    <row r="82" spans="1:3" x14ac:dyDescent="0.35">
      <c r="A82" s="4">
        <v>2018</v>
      </c>
      <c r="B82" s="4" t="s">
        <v>92</v>
      </c>
      <c r="C82" s="14">
        <v>5107021205</v>
      </c>
    </row>
    <row r="83" spans="1:3" x14ac:dyDescent="0.35">
      <c r="A83" s="7">
        <v>2018</v>
      </c>
      <c r="B83" s="7" t="s">
        <v>93</v>
      </c>
      <c r="C83" s="13">
        <v>4852767660</v>
      </c>
    </row>
    <row r="84" spans="1:3" x14ac:dyDescent="0.35">
      <c r="A84" s="4">
        <v>2022</v>
      </c>
      <c r="B84" s="4" t="s">
        <v>94</v>
      </c>
      <c r="C84" s="14">
        <v>4742621940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22" customWidth="1"/>
    <col min="2" max="4" width="14" customWidth="1"/>
    <col min="5" max="5" width="44" customWidth="1"/>
    <col min="6" max="7" width="14" customWidth="1"/>
  </cols>
  <sheetData>
    <row r="1" spans="1:8" ht="33.75" customHeight="1" x14ac:dyDescent="0.35">
      <c r="A1" s="53" t="s">
        <v>95</v>
      </c>
      <c r="B1" s="53"/>
      <c r="C1" s="53"/>
      <c r="D1" s="53"/>
      <c r="E1" s="53"/>
      <c r="F1" s="53"/>
      <c r="G1" s="53"/>
      <c r="H1" s="53"/>
    </row>
    <row r="2" spans="1:8" ht="18" customHeight="1" x14ac:dyDescent="0.35">
      <c r="A2" s="54" t="s">
        <v>96</v>
      </c>
      <c r="B2" s="54"/>
      <c r="C2" s="54"/>
      <c r="D2" s="54"/>
      <c r="E2" s="54"/>
      <c r="F2" s="54"/>
      <c r="G2" s="54"/>
      <c r="H2" s="54"/>
    </row>
    <row r="3" spans="1:8" ht="16.5" x14ac:dyDescent="0.35">
      <c r="A3" s="2" t="s">
        <v>97</v>
      </c>
      <c r="E3" s="11" t="s">
        <v>98</v>
      </c>
    </row>
    <row r="4" spans="1:8" x14ac:dyDescent="0.35">
      <c r="A4" s="3" t="s">
        <v>12</v>
      </c>
      <c r="B4" s="3" t="s">
        <v>99</v>
      </c>
    </row>
    <row r="5" spans="1:8" x14ac:dyDescent="0.35">
      <c r="A5" s="7">
        <v>2015</v>
      </c>
      <c r="B5" s="8">
        <v>0.03</v>
      </c>
    </row>
    <row r="6" spans="1:8" x14ac:dyDescent="0.35">
      <c r="A6" s="4">
        <v>2016</v>
      </c>
      <c r="B6" s="5">
        <v>0.02</v>
      </c>
    </row>
    <row r="7" spans="1:8" x14ac:dyDescent="0.35">
      <c r="A7" s="7">
        <v>2017</v>
      </c>
      <c r="B7" s="8">
        <v>0.03</v>
      </c>
    </row>
    <row r="8" spans="1:8" x14ac:dyDescent="0.35">
      <c r="A8" s="4">
        <v>2018</v>
      </c>
      <c r="B8" s="5">
        <v>0.04</v>
      </c>
    </row>
    <row r="9" spans="1:8" x14ac:dyDescent="0.35">
      <c r="A9" s="7">
        <v>2019</v>
      </c>
      <c r="B9" s="8">
        <v>0.05</v>
      </c>
    </row>
    <row r="10" spans="1:8" x14ac:dyDescent="0.35">
      <c r="A10" s="4">
        <v>2020</v>
      </c>
      <c r="B10" s="5">
        <v>0.04</v>
      </c>
    </row>
    <row r="11" spans="1:8" x14ac:dyDescent="0.35">
      <c r="A11" s="7">
        <v>2021</v>
      </c>
      <c r="B11" s="8">
        <v>0.08</v>
      </c>
    </row>
    <row r="12" spans="1:8" x14ac:dyDescent="0.35">
      <c r="A12" s="4">
        <v>2022</v>
      </c>
      <c r="B12" s="5">
        <v>0.24</v>
      </c>
    </row>
    <row r="13" spans="1:8" x14ac:dyDescent="0.35">
      <c r="A13" s="7">
        <v>2023</v>
      </c>
      <c r="B13" s="8">
        <v>0.22</v>
      </c>
    </row>
    <row r="14" spans="1:8" x14ac:dyDescent="0.35">
      <c r="A14" s="4">
        <v>2024</v>
      </c>
      <c r="B14" s="5">
        <v>0.47</v>
      </c>
    </row>
    <row r="15" spans="1:8" x14ac:dyDescent="0.35">
      <c r="A15" s="7">
        <v>2025</v>
      </c>
      <c r="B15" s="8">
        <v>0.37</v>
      </c>
    </row>
    <row r="16" spans="1:8" x14ac:dyDescent="0.35">
      <c r="A16" s="4">
        <v>2026</v>
      </c>
      <c r="B16" s="5">
        <v>0.47</v>
      </c>
    </row>
    <row r="36" spans="1:7" ht="16.5" x14ac:dyDescent="0.35">
      <c r="A36" s="2" t="s">
        <v>100</v>
      </c>
      <c r="G36" s="11" t="s">
        <v>101</v>
      </c>
    </row>
    <row r="37" spans="1:7" x14ac:dyDescent="0.35">
      <c r="A37" s="3" t="s">
        <v>102</v>
      </c>
      <c r="B37" s="3" t="s">
        <v>103</v>
      </c>
      <c r="C37" s="3" t="s">
        <v>104</v>
      </c>
      <c r="D37" s="3" t="s">
        <v>105</v>
      </c>
      <c r="E37" s="3" t="s">
        <v>106</v>
      </c>
      <c r="F37" s="3" t="s">
        <v>107</v>
      </c>
    </row>
    <row r="38" spans="1:7" x14ac:dyDescent="0.35">
      <c r="A38" s="4" t="s">
        <v>108</v>
      </c>
      <c r="B38" s="5">
        <v>148.4</v>
      </c>
      <c r="C38" s="5">
        <v>155.94999999999999</v>
      </c>
      <c r="D38" s="5">
        <v>134.4</v>
      </c>
      <c r="E38" s="5">
        <v>136</v>
      </c>
      <c r="F38" s="5">
        <v>21.55</v>
      </c>
    </row>
    <row r="39" spans="1:7" x14ac:dyDescent="0.35">
      <c r="A39" s="7" t="s">
        <v>109</v>
      </c>
      <c r="B39" s="8">
        <v>148.19999999999999</v>
      </c>
      <c r="C39" s="8">
        <v>166.35</v>
      </c>
      <c r="D39" s="8">
        <v>147.30000000000001</v>
      </c>
      <c r="E39" s="8">
        <v>165.25</v>
      </c>
      <c r="F39" s="8">
        <v>19.05</v>
      </c>
    </row>
    <row r="40" spans="1:7" x14ac:dyDescent="0.35">
      <c r="A40" s="4" t="s">
        <v>110</v>
      </c>
      <c r="B40" s="5">
        <v>179.9</v>
      </c>
      <c r="C40" s="5">
        <v>182.7</v>
      </c>
      <c r="D40" s="5">
        <v>164.4</v>
      </c>
      <c r="E40" s="5">
        <v>167.55</v>
      </c>
      <c r="F40" s="5">
        <v>18.3</v>
      </c>
    </row>
    <row r="41" spans="1:7" x14ac:dyDescent="0.35">
      <c r="A41" s="7" t="s">
        <v>111</v>
      </c>
      <c r="B41" s="8">
        <v>174.6</v>
      </c>
      <c r="C41" s="8">
        <v>174.6</v>
      </c>
      <c r="D41" s="8">
        <v>156.44999999999999</v>
      </c>
      <c r="E41" s="8">
        <v>164.65</v>
      </c>
      <c r="F41" s="8">
        <v>18.149999999999999</v>
      </c>
    </row>
    <row r="42" spans="1:7" x14ac:dyDescent="0.35">
      <c r="A42" s="4" t="s">
        <v>112</v>
      </c>
      <c r="B42" s="5">
        <v>153.94999999999999</v>
      </c>
      <c r="C42" s="5">
        <v>153.94999999999999</v>
      </c>
      <c r="D42" s="5">
        <v>140.44999999999999</v>
      </c>
      <c r="E42" s="5">
        <v>146.69999999999999</v>
      </c>
      <c r="F42" s="5">
        <v>13.5</v>
      </c>
    </row>
    <row r="43" spans="1:7" x14ac:dyDescent="0.35">
      <c r="A43" s="7" t="s">
        <v>113</v>
      </c>
      <c r="B43" s="8">
        <v>135</v>
      </c>
      <c r="C43" s="8">
        <v>135.25</v>
      </c>
      <c r="D43" s="8">
        <v>124</v>
      </c>
      <c r="E43" s="8">
        <v>131.25</v>
      </c>
      <c r="F43" s="8">
        <v>11.25</v>
      </c>
    </row>
    <row r="44" spans="1:7" x14ac:dyDescent="0.35">
      <c r="A44" s="4" t="s">
        <v>114</v>
      </c>
      <c r="B44" s="5">
        <v>109</v>
      </c>
      <c r="C44" s="5">
        <v>117.9</v>
      </c>
      <c r="D44" s="5">
        <v>107.8</v>
      </c>
      <c r="E44" s="5">
        <v>115.85</v>
      </c>
      <c r="F44" s="5">
        <v>10.1</v>
      </c>
    </row>
    <row r="45" spans="1:7" x14ac:dyDescent="0.35">
      <c r="A45" s="7" t="s">
        <v>115</v>
      </c>
      <c r="B45" s="8">
        <v>152.9</v>
      </c>
      <c r="C45" s="8">
        <v>153</v>
      </c>
      <c r="D45" s="8">
        <v>143.15</v>
      </c>
      <c r="E45" s="8">
        <v>147.28</v>
      </c>
      <c r="F45" s="8">
        <v>9.85</v>
      </c>
    </row>
    <row r="46" spans="1:7" x14ac:dyDescent="0.35">
      <c r="A46" s="4" t="s">
        <v>116</v>
      </c>
      <c r="B46" s="5">
        <v>174</v>
      </c>
      <c r="C46" s="5">
        <v>174.8</v>
      </c>
      <c r="D46" s="5">
        <v>165.35</v>
      </c>
      <c r="E46" s="5">
        <v>172.35</v>
      </c>
      <c r="F46" s="5">
        <v>9.4499999999999993</v>
      </c>
    </row>
    <row r="47" spans="1:7" x14ac:dyDescent="0.35">
      <c r="A47" s="7" t="s">
        <v>117</v>
      </c>
      <c r="B47" s="8">
        <v>131.6</v>
      </c>
      <c r="C47" s="8">
        <v>140</v>
      </c>
      <c r="D47" s="8">
        <v>131</v>
      </c>
      <c r="E47" s="8">
        <v>139.44999999999999</v>
      </c>
      <c r="F47" s="8">
        <v>9</v>
      </c>
    </row>
  </sheetData>
  <mergeCells count="2">
    <mergeCell ref="A1:H1"/>
    <mergeCell ref="A2:H2"/>
  </mergeCells>
  <conditionalFormatting sqref="B5:B16">
    <cfRule type="dataBar" priority="2">
      <dataBar>
        <cfvo type="min"/>
        <cfvo type="max"/>
        <color rgb="FFC0504D"/>
      </dataBar>
      <extLst>
        <ext xmlns:x14="http://schemas.microsoft.com/office/spreadsheetml/2009/9/main" uri="{B025F937-C7B1-47D3-B67F-A62EFF666E3E}">
          <x14:id>{695872DE-6E35-42A2-AA48-10E8FFD95AE1}</x14:id>
        </ext>
      </extLst>
    </cfRule>
  </conditionalFormatting>
  <conditionalFormatting sqref="F38:F47">
    <cfRule type="dataBar" priority="3">
      <dataBar>
        <cfvo type="min"/>
        <cfvo type="max"/>
        <color rgb="FFC0504D"/>
      </dataBar>
      <extLst>
        <ext xmlns:x14="http://schemas.microsoft.com/office/spreadsheetml/2009/9/main" uri="{B025F937-C7B1-47D3-B67F-A62EFF666E3E}">
          <x14:id>{7D4779A7-902F-4B41-80C7-EC7793B57E34}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5872DE-6E35-42A2-AA48-10E8FFD95AE1}">
            <x14:dataBar axisPosition="none">
              <x14:cfvo type="min"/>
              <x14:cfvo type="max"/>
              <x14:negativeFillColor rgb="FFC0504D"/>
            </x14:dataBar>
          </x14:cfRule>
          <xm:sqref>B5:B16</xm:sqref>
        </x14:conditionalFormatting>
        <x14:conditionalFormatting xmlns:xm="http://schemas.microsoft.com/office/excel/2006/main">
          <x14:cfRule type="dataBar" id="{7D4779A7-902F-4B41-80C7-EC7793B57E34}">
            <x14:dataBar axisPosition="none">
              <x14:cfvo type="min"/>
              <x14:cfvo type="max"/>
              <x14:negativeFillColor rgb="FFC0504D"/>
            </x14:dataBar>
          </x14:cfRule>
          <xm:sqref>F38:F47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2"/>
  <sheetViews>
    <sheetView showGridLines="0" zoomScaleNormal="100" workbookViewId="0">
      <selection activeCell="D16" sqref="D16"/>
    </sheetView>
  </sheetViews>
  <sheetFormatPr defaultColWidth="8.6328125" defaultRowHeight="14.5" x14ac:dyDescent="0.35"/>
  <cols>
    <col min="1" max="1" width="22" customWidth="1"/>
    <col min="2" max="3" width="20" customWidth="1"/>
    <col min="4" max="4" width="18" customWidth="1"/>
    <col min="5" max="5" width="10" customWidth="1"/>
    <col min="6" max="6" width="50" customWidth="1"/>
  </cols>
  <sheetData>
    <row r="1" spans="1:8" ht="33.75" customHeight="1" x14ac:dyDescent="0.35">
      <c r="A1" s="53" t="s">
        <v>118</v>
      </c>
      <c r="B1" s="53"/>
      <c r="C1" s="53"/>
      <c r="D1" s="53"/>
      <c r="E1" s="53"/>
      <c r="F1" s="53"/>
      <c r="G1" s="53"/>
      <c r="H1" s="53"/>
    </row>
    <row r="2" spans="1:8" ht="18" customHeight="1" x14ac:dyDescent="0.35">
      <c r="A2" s="54" t="s">
        <v>119</v>
      </c>
      <c r="B2" s="54"/>
      <c r="C2" s="54"/>
      <c r="D2" s="54"/>
      <c r="E2" s="54"/>
      <c r="F2" s="54"/>
      <c r="G2" s="54"/>
      <c r="H2" s="54"/>
    </row>
    <row r="3" spans="1:8" ht="16.5" x14ac:dyDescent="0.35">
      <c r="A3" s="2" t="s">
        <v>120</v>
      </c>
      <c r="F3" s="1" t="s">
        <v>121</v>
      </c>
    </row>
    <row r="4" spans="1:8" x14ac:dyDescent="0.35">
      <c r="A4" s="3" t="s">
        <v>12</v>
      </c>
      <c r="B4" s="3" t="s">
        <v>122</v>
      </c>
      <c r="C4" s="3" t="s">
        <v>123</v>
      </c>
      <c r="D4" s="3" t="s">
        <v>124</v>
      </c>
    </row>
    <row r="5" spans="1:8" x14ac:dyDescent="0.35">
      <c r="A5" s="7">
        <v>2015</v>
      </c>
      <c r="B5" s="7">
        <v>837</v>
      </c>
      <c r="C5" s="7">
        <v>825</v>
      </c>
      <c r="D5" s="7">
        <v>1662</v>
      </c>
    </row>
    <row r="6" spans="1:8" x14ac:dyDescent="0.35">
      <c r="A6" s="4">
        <v>2016</v>
      </c>
      <c r="B6" s="4">
        <v>799</v>
      </c>
      <c r="C6" s="4">
        <v>780</v>
      </c>
      <c r="D6" s="4">
        <v>1579</v>
      </c>
    </row>
    <row r="7" spans="1:8" x14ac:dyDescent="0.35">
      <c r="A7" s="7">
        <v>2017</v>
      </c>
      <c r="B7" s="7">
        <v>822</v>
      </c>
      <c r="C7" s="7">
        <v>828</v>
      </c>
      <c r="D7" s="7">
        <v>1650</v>
      </c>
    </row>
    <row r="8" spans="1:8" x14ac:dyDescent="0.35">
      <c r="A8" s="4">
        <v>2018</v>
      </c>
      <c r="B8" s="4">
        <v>866</v>
      </c>
      <c r="C8" s="4">
        <v>873</v>
      </c>
      <c r="D8" s="4">
        <v>1739</v>
      </c>
    </row>
    <row r="9" spans="1:8" x14ac:dyDescent="0.35">
      <c r="A9" s="7">
        <v>2019</v>
      </c>
      <c r="B9" s="7">
        <v>945</v>
      </c>
      <c r="C9" s="7">
        <v>972</v>
      </c>
      <c r="D9" s="7">
        <v>1917</v>
      </c>
    </row>
    <row r="10" spans="1:8" x14ac:dyDescent="0.35">
      <c r="A10" s="4">
        <v>2020</v>
      </c>
      <c r="B10" s="4">
        <v>885</v>
      </c>
      <c r="C10" s="4">
        <v>870</v>
      </c>
      <c r="D10" s="4">
        <v>1755</v>
      </c>
    </row>
    <row r="11" spans="1:8" x14ac:dyDescent="0.35">
      <c r="A11" s="7">
        <v>2021</v>
      </c>
      <c r="B11" s="7">
        <v>864</v>
      </c>
      <c r="C11" s="7">
        <v>858</v>
      </c>
      <c r="D11" s="7">
        <v>1722</v>
      </c>
    </row>
    <row r="12" spans="1:8" x14ac:dyDescent="0.35">
      <c r="A12" s="4">
        <v>2022</v>
      </c>
      <c r="B12" s="4">
        <v>1004</v>
      </c>
      <c r="C12" s="4">
        <v>995</v>
      </c>
      <c r="D12" s="4">
        <v>1999</v>
      </c>
    </row>
    <row r="13" spans="1:8" x14ac:dyDescent="0.35">
      <c r="A13" s="7">
        <v>2023</v>
      </c>
      <c r="B13" s="7">
        <v>957</v>
      </c>
      <c r="C13" s="7">
        <v>957</v>
      </c>
      <c r="D13" s="7">
        <v>1914</v>
      </c>
    </row>
    <row r="14" spans="1:8" x14ac:dyDescent="0.35">
      <c r="A14" s="4">
        <v>2024</v>
      </c>
      <c r="B14" s="4">
        <v>1228</v>
      </c>
      <c r="C14" s="4">
        <v>1224</v>
      </c>
      <c r="D14" s="4">
        <v>2452</v>
      </c>
    </row>
    <row r="15" spans="1:8" x14ac:dyDescent="0.35">
      <c r="A15" s="7">
        <v>2025</v>
      </c>
      <c r="B15" s="7">
        <v>1081</v>
      </c>
      <c r="C15" s="7">
        <v>1076</v>
      </c>
      <c r="D15" s="7">
        <v>2157</v>
      </c>
    </row>
    <row r="16" spans="1:8" x14ac:dyDescent="0.35">
      <c r="A16" s="4">
        <v>2026</v>
      </c>
      <c r="B16" s="4">
        <v>294</v>
      </c>
      <c r="C16" s="4">
        <v>294</v>
      </c>
      <c r="D16" s="4">
        <v>588</v>
      </c>
    </row>
    <row r="36" spans="1:5" ht="16.5" x14ac:dyDescent="0.35">
      <c r="A36" s="2" t="s">
        <v>125</v>
      </c>
    </row>
    <row r="37" spans="1:5" x14ac:dyDescent="0.35">
      <c r="A37" s="3" t="s">
        <v>102</v>
      </c>
      <c r="B37" s="3" t="s">
        <v>126</v>
      </c>
      <c r="C37" s="3" t="s">
        <v>127</v>
      </c>
      <c r="D37" s="3" t="s">
        <v>128</v>
      </c>
      <c r="E37" s="3" t="s">
        <v>12</v>
      </c>
    </row>
    <row r="38" spans="1:5" x14ac:dyDescent="0.35">
      <c r="A38" s="4" t="s">
        <v>116</v>
      </c>
      <c r="B38" s="5">
        <v>172.35</v>
      </c>
      <c r="C38" s="5">
        <v>153.91999999999999</v>
      </c>
      <c r="D38" s="4" t="s">
        <v>129</v>
      </c>
      <c r="E38" s="4">
        <v>2024</v>
      </c>
    </row>
    <row r="39" spans="1:5" x14ac:dyDescent="0.35">
      <c r="A39" s="7" t="s">
        <v>130</v>
      </c>
      <c r="B39" s="8">
        <v>98.5</v>
      </c>
      <c r="C39" s="8">
        <v>105.59</v>
      </c>
      <c r="D39" s="7" t="s">
        <v>131</v>
      </c>
      <c r="E39" s="7">
        <v>2025</v>
      </c>
    </row>
    <row r="40" spans="1:5" x14ac:dyDescent="0.35">
      <c r="A40" s="4" t="s">
        <v>132</v>
      </c>
      <c r="B40" s="5">
        <v>96.1</v>
      </c>
      <c r="C40" s="5">
        <v>91.18</v>
      </c>
      <c r="D40" s="4" t="s">
        <v>129</v>
      </c>
      <c r="E40" s="4">
        <v>2025</v>
      </c>
    </row>
    <row r="41" spans="1:5" x14ac:dyDescent="0.35">
      <c r="A41" s="7" t="s">
        <v>133</v>
      </c>
      <c r="B41" s="8">
        <v>108.9</v>
      </c>
      <c r="C41" s="8">
        <v>104.1</v>
      </c>
      <c r="D41" s="7" t="s">
        <v>129</v>
      </c>
      <c r="E41" s="7">
        <v>2024</v>
      </c>
    </row>
    <row r="42" spans="1:5" x14ac:dyDescent="0.35">
      <c r="A42" s="4" t="s">
        <v>134</v>
      </c>
      <c r="B42" s="5">
        <v>114.75</v>
      </c>
      <c r="C42" s="5">
        <v>110.14</v>
      </c>
      <c r="D42" s="4" t="s">
        <v>129</v>
      </c>
      <c r="E42" s="4">
        <v>2025</v>
      </c>
    </row>
    <row r="43" spans="1:5" x14ac:dyDescent="0.35">
      <c r="A43" s="7" t="s">
        <v>135</v>
      </c>
      <c r="B43" s="8">
        <v>93.6</v>
      </c>
      <c r="C43" s="8">
        <v>89.03</v>
      </c>
      <c r="D43" s="7" t="s">
        <v>129</v>
      </c>
      <c r="E43" s="7">
        <v>2023</v>
      </c>
    </row>
    <row r="44" spans="1:5" x14ac:dyDescent="0.35">
      <c r="A44" s="4" t="s">
        <v>136</v>
      </c>
      <c r="B44" s="5">
        <v>115.25</v>
      </c>
      <c r="C44" s="5">
        <v>119.74</v>
      </c>
      <c r="D44" s="4" t="s">
        <v>131</v>
      </c>
      <c r="E44" s="4">
        <v>2024</v>
      </c>
    </row>
    <row r="45" spans="1:5" x14ac:dyDescent="0.35">
      <c r="A45" s="7" t="s">
        <v>115</v>
      </c>
      <c r="B45" s="8">
        <v>147.28</v>
      </c>
      <c r="C45" s="8">
        <v>151.61000000000001</v>
      </c>
      <c r="D45" s="7" t="s">
        <v>131</v>
      </c>
      <c r="E45" s="7">
        <v>2025</v>
      </c>
    </row>
    <row r="46" spans="1:5" x14ac:dyDescent="0.35">
      <c r="A46" s="4" t="s">
        <v>137</v>
      </c>
      <c r="B46" s="5">
        <v>155.12</v>
      </c>
      <c r="C46" s="5">
        <v>150.85</v>
      </c>
      <c r="D46" s="4" t="s">
        <v>129</v>
      </c>
      <c r="E46" s="4">
        <v>2026</v>
      </c>
    </row>
    <row r="47" spans="1:5" x14ac:dyDescent="0.35">
      <c r="A47" s="7" t="s">
        <v>138</v>
      </c>
      <c r="B47" s="8">
        <v>158.75</v>
      </c>
      <c r="C47" s="8">
        <v>162.75</v>
      </c>
      <c r="D47" s="7" t="s">
        <v>131</v>
      </c>
      <c r="E47" s="7">
        <v>2025</v>
      </c>
    </row>
    <row r="48" spans="1:5" x14ac:dyDescent="0.35">
      <c r="A48" s="4" t="s">
        <v>139</v>
      </c>
      <c r="B48" s="5">
        <v>131.19999999999999</v>
      </c>
      <c r="C48" s="5">
        <v>127.49</v>
      </c>
      <c r="D48" s="4" t="s">
        <v>129</v>
      </c>
      <c r="E48" s="4">
        <v>2024</v>
      </c>
    </row>
    <row r="49" spans="1:5" x14ac:dyDescent="0.35">
      <c r="A49" s="7" t="s">
        <v>140</v>
      </c>
      <c r="B49" s="8">
        <v>152.41</v>
      </c>
      <c r="C49" s="8">
        <v>156.07</v>
      </c>
      <c r="D49" s="7" t="s">
        <v>131</v>
      </c>
      <c r="E49" s="7">
        <v>2026</v>
      </c>
    </row>
    <row r="50" spans="1:5" x14ac:dyDescent="0.35">
      <c r="A50" s="4" t="s">
        <v>141</v>
      </c>
      <c r="B50" s="5">
        <v>115.9</v>
      </c>
      <c r="C50" s="5">
        <v>112.34</v>
      </c>
      <c r="D50" s="4" t="s">
        <v>129</v>
      </c>
      <c r="E50" s="4">
        <v>2024</v>
      </c>
    </row>
    <row r="51" spans="1:5" x14ac:dyDescent="0.35">
      <c r="A51" s="7" t="s">
        <v>142</v>
      </c>
      <c r="B51" s="8">
        <v>145.74</v>
      </c>
      <c r="C51" s="8">
        <v>149.30000000000001</v>
      </c>
      <c r="D51" s="7" t="s">
        <v>131</v>
      </c>
      <c r="E51" s="7">
        <v>2026</v>
      </c>
    </row>
    <row r="52" spans="1:5" x14ac:dyDescent="0.35">
      <c r="A52" s="4" t="s">
        <v>143</v>
      </c>
      <c r="B52" s="5">
        <v>151.35</v>
      </c>
      <c r="C52" s="5">
        <v>147.88</v>
      </c>
      <c r="D52" s="4" t="s">
        <v>129</v>
      </c>
      <c r="E52" s="4">
        <v>2025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7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16" customWidth="1"/>
    <col min="2" max="3" width="20" customWidth="1"/>
    <col min="4" max="4" width="16" customWidth="1"/>
  </cols>
  <sheetData>
    <row r="1" spans="1:8" ht="33.75" customHeight="1" x14ac:dyDescent="0.35">
      <c r="A1" s="53" t="s">
        <v>144</v>
      </c>
      <c r="B1" s="53"/>
      <c r="C1" s="53"/>
      <c r="D1" s="53"/>
      <c r="E1" s="53"/>
      <c r="F1" s="53"/>
      <c r="G1" s="53"/>
      <c r="H1" s="53"/>
    </row>
    <row r="2" spans="1:8" ht="18" customHeight="1" x14ac:dyDescent="0.35">
      <c r="A2" s="54" t="s">
        <v>145</v>
      </c>
      <c r="B2" s="54"/>
      <c r="C2" s="54"/>
      <c r="D2" s="54"/>
      <c r="E2" s="54"/>
      <c r="F2" s="54"/>
      <c r="G2" s="54"/>
      <c r="H2" s="54"/>
    </row>
    <row r="3" spans="1:8" ht="16.5" x14ac:dyDescent="0.35">
      <c r="A3" s="2" t="s">
        <v>146</v>
      </c>
    </row>
    <row r="4" spans="1:8" x14ac:dyDescent="0.35">
      <c r="A4" s="3" t="s">
        <v>102</v>
      </c>
      <c r="B4" s="3" t="s">
        <v>87</v>
      </c>
    </row>
    <row r="5" spans="1:8" x14ac:dyDescent="0.35">
      <c r="A5" s="7" t="s">
        <v>147</v>
      </c>
      <c r="B5" s="13">
        <v>1199860275</v>
      </c>
    </row>
    <row r="6" spans="1:8" x14ac:dyDescent="0.35">
      <c r="A6" s="4" t="s">
        <v>148</v>
      </c>
      <c r="B6" s="14">
        <v>1099886855</v>
      </c>
    </row>
    <row r="7" spans="1:8" x14ac:dyDescent="0.35">
      <c r="A7" s="7" t="s">
        <v>149</v>
      </c>
      <c r="B7" s="13">
        <v>953372430</v>
      </c>
    </row>
    <row r="8" spans="1:8" x14ac:dyDescent="0.35">
      <c r="A8" s="4" t="s">
        <v>150</v>
      </c>
      <c r="B8" s="14">
        <v>832726775</v>
      </c>
    </row>
    <row r="9" spans="1:8" x14ac:dyDescent="0.35">
      <c r="A9" s="7" t="s">
        <v>151</v>
      </c>
      <c r="B9" s="13">
        <v>705922770</v>
      </c>
    </row>
    <row r="10" spans="1:8" x14ac:dyDescent="0.35">
      <c r="A10" s="4" t="s">
        <v>152</v>
      </c>
      <c r="B10" s="14">
        <v>690517770</v>
      </c>
    </row>
    <row r="11" spans="1:8" x14ac:dyDescent="0.35">
      <c r="A11" s="7" t="s">
        <v>153</v>
      </c>
      <c r="B11" s="13">
        <v>687330665</v>
      </c>
    </row>
    <row r="12" spans="1:8" x14ac:dyDescent="0.35">
      <c r="A12" s="4" t="s">
        <v>154</v>
      </c>
      <c r="B12" s="14">
        <v>659466220</v>
      </c>
    </row>
    <row r="13" spans="1:8" x14ac:dyDescent="0.35">
      <c r="A13" s="7" t="s">
        <v>155</v>
      </c>
      <c r="B13" s="13">
        <v>655073445</v>
      </c>
    </row>
    <row r="14" spans="1:8" x14ac:dyDescent="0.35">
      <c r="A14" s="4" t="s">
        <v>156</v>
      </c>
      <c r="B14" s="14">
        <v>643930140</v>
      </c>
    </row>
    <row r="15" spans="1:8" x14ac:dyDescent="0.35">
      <c r="A15" s="7" t="s">
        <v>157</v>
      </c>
      <c r="B15" s="13">
        <v>623812885</v>
      </c>
    </row>
    <row r="16" spans="1:8" x14ac:dyDescent="0.35">
      <c r="A16" s="4" t="s">
        <v>158</v>
      </c>
      <c r="B16" s="14">
        <v>621590230</v>
      </c>
    </row>
    <row r="17" spans="1:2" x14ac:dyDescent="0.35">
      <c r="A17" s="7" t="s">
        <v>159</v>
      </c>
      <c r="B17" s="13">
        <v>621403730</v>
      </c>
    </row>
    <row r="18" spans="1:2" x14ac:dyDescent="0.35">
      <c r="A18" s="4" t="s">
        <v>160</v>
      </c>
      <c r="B18" s="14">
        <v>610932785</v>
      </c>
    </row>
    <row r="19" spans="1:2" x14ac:dyDescent="0.35">
      <c r="A19" s="7" t="s">
        <v>161</v>
      </c>
      <c r="B19" s="13">
        <v>597587065</v>
      </c>
    </row>
    <row r="39" spans="1:3" ht="16.5" x14ac:dyDescent="0.35">
      <c r="A39" s="2" t="s">
        <v>162</v>
      </c>
    </row>
    <row r="40" spans="1:3" x14ac:dyDescent="0.35">
      <c r="A40" s="3" t="s">
        <v>163</v>
      </c>
      <c r="B40" s="3" t="s">
        <v>164</v>
      </c>
    </row>
    <row r="41" spans="1:3" x14ac:dyDescent="0.35">
      <c r="A41" s="7" t="s">
        <v>165</v>
      </c>
      <c r="B41" s="15">
        <v>0.55659317302936195</v>
      </c>
    </row>
    <row r="42" spans="1:3" x14ac:dyDescent="0.35">
      <c r="A42" s="4" t="s">
        <v>166</v>
      </c>
      <c r="B42" s="16">
        <v>0.11953948094124001</v>
      </c>
    </row>
    <row r="44" spans="1:3" ht="30" customHeight="1" x14ac:dyDescent="0.35">
      <c r="A44" s="55" t="s">
        <v>167</v>
      </c>
      <c r="B44" s="55"/>
      <c r="C44" s="55"/>
    </row>
    <row r="46" spans="1:3" ht="16.5" x14ac:dyDescent="0.35">
      <c r="A46" s="2" t="s">
        <v>168</v>
      </c>
    </row>
    <row r="47" spans="1:3" x14ac:dyDescent="0.35">
      <c r="A47" s="3" t="s">
        <v>102</v>
      </c>
      <c r="B47" s="3" t="s">
        <v>89</v>
      </c>
      <c r="C47" s="3" t="s">
        <v>169</v>
      </c>
    </row>
    <row r="48" spans="1:3" x14ac:dyDescent="0.35">
      <c r="A48" s="4" t="s">
        <v>170</v>
      </c>
      <c r="B48" s="14">
        <v>4787305</v>
      </c>
      <c r="C48" s="17">
        <v>0.17510014159411699</v>
      </c>
    </row>
    <row r="49" spans="1:3" x14ac:dyDescent="0.35">
      <c r="A49" s="7" t="s">
        <v>171</v>
      </c>
      <c r="B49" s="13">
        <v>6330890</v>
      </c>
      <c r="C49" s="18">
        <v>7.7265646160309495E-2</v>
      </c>
    </row>
    <row r="50" spans="1:3" x14ac:dyDescent="0.35">
      <c r="A50" s="4" t="s">
        <v>172</v>
      </c>
      <c r="B50" s="14">
        <v>10570200</v>
      </c>
      <c r="C50" s="17">
        <v>0.12647289675457701</v>
      </c>
    </row>
    <row r="51" spans="1:3" x14ac:dyDescent="0.35">
      <c r="A51" s="7" t="s">
        <v>173</v>
      </c>
      <c r="B51" s="13">
        <v>10971250</v>
      </c>
      <c r="C51" s="18">
        <v>6.6390041493775906E-2</v>
      </c>
    </row>
    <row r="52" spans="1:3" x14ac:dyDescent="0.35">
      <c r="A52" s="4" t="s">
        <v>174</v>
      </c>
      <c r="B52" s="14">
        <v>10997640</v>
      </c>
      <c r="C52" s="17">
        <v>0.14269947800149099</v>
      </c>
    </row>
    <row r="53" spans="1:3" x14ac:dyDescent="0.35">
      <c r="A53" s="7" t="s">
        <v>175</v>
      </c>
      <c r="B53" s="13">
        <v>12142045</v>
      </c>
      <c r="C53" s="18">
        <v>0.15856400893616901</v>
      </c>
    </row>
    <row r="54" spans="1:3" x14ac:dyDescent="0.35">
      <c r="A54" s="4" t="s">
        <v>176</v>
      </c>
      <c r="B54" s="14">
        <v>13143000</v>
      </c>
      <c r="C54" s="17">
        <v>0.211979144639943</v>
      </c>
    </row>
    <row r="55" spans="1:3" x14ac:dyDescent="0.35">
      <c r="A55" s="7" t="s">
        <v>177</v>
      </c>
      <c r="B55" s="13">
        <v>13297540</v>
      </c>
      <c r="C55" s="18">
        <v>0.11429823074588299</v>
      </c>
    </row>
    <row r="56" spans="1:3" x14ac:dyDescent="0.35">
      <c r="A56" s="4" t="s">
        <v>178</v>
      </c>
      <c r="B56" s="14">
        <v>13727460</v>
      </c>
      <c r="C56" s="17">
        <v>0.56431172827210796</v>
      </c>
    </row>
    <row r="57" spans="1:3" x14ac:dyDescent="0.35">
      <c r="A57" s="7" t="s">
        <v>179</v>
      </c>
      <c r="B57" s="13">
        <v>13799820</v>
      </c>
      <c r="C57" s="18">
        <v>0.13874684060503401</v>
      </c>
    </row>
    <row r="58" spans="1:3" x14ac:dyDescent="0.35">
      <c r="A58" s="4" t="s">
        <v>180</v>
      </c>
      <c r="B58" s="14">
        <v>13870295</v>
      </c>
      <c r="C58" s="17">
        <v>0.21846796483665901</v>
      </c>
    </row>
    <row r="59" spans="1:3" x14ac:dyDescent="0.35">
      <c r="A59" s="7" t="s">
        <v>181</v>
      </c>
      <c r="B59" s="13">
        <v>14794613</v>
      </c>
      <c r="C59" s="18">
        <v>0.113427228777968</v>
      </c>
    </row>
    <row r="60" spans="1:3" x14ac:dyDescent="0.35">
      <c r="A60" s="4" t="s">
        <v>182</v>
      </c>
      <c r="B60" s="14">
        <v>14818995</v>
      </c>
      <c r="C60" s="17">
        <v>0.22567816462364301</v>
      </c>
    </row>
    <row r="61" spans="1:3" x14ac:dyDescent="0.35">
      <c r="A61" s="7" t="s">
        <v>183</v>
      </c>
      <c r="B61" s="13">
        <v>15241065</v>
      </c>
      <c r="C61" s="18">
        <v>0.16984980179966599</v>
      </c>
    </row>
    <row r="62" spans="1:3" x14ac:dyDescent="0.35">
      <c r="A62" s="4" t="s">
        <v>184</v>
      </c>
      <c r="B62" s="14">
        <v>15612380</v>
      </c>
      <c r="C62" s="17">
        <v>0.377496333030653</v>
      </c>
    </row>
    <row r="63" spans="1:3" x14ac:dyDescent="0.35">
      <c r="A63" s="7" t="s">
        <v>185</v>
      </c>
      <c r="B63" s="13">
        <v>15860875</v>
      </c>
      <c r="C63" s="18">
        <v>0.12594894787866101</v>
      </c>
    </row>
    <row r="64" spans="1:3" x14ac:dyDescent="0.35">
      <c r="A64" s="4" t="s">
        <v>186</v>
      </c>
      <c r="B64" s="14">
        <v>16081500</v>
      </c>
      <c r="C64" s="17">
        <v>0.118202005875333</v>
      </c>
    </row>
    <row r="65" spans="1:3" x14ac:dyDescent="0.35">
      <c r="A65" s="7" t="s">
        <v>187</v>
      </c>
      <c r="B65" s="13">
        <v>16314635</v>
      </c>
      <c r="C65" s="18">
        <v>0.191974927797183</v>
      </c>
    </row>
    <row r="66" spans="1:3" x14ac:dyDescent="0.35">
      <c r="A66" s="4" t="s">
        <v>188</v>
      </c>
      <c r="B66" s="14">
        <v>16385610</v>
      </c>
      <c r="C66" s="17">
        <v>0.17124151383442501</v>
      </c>
    </row>
    <row r="67" spans="1:3" x14ac:dyDescent="0.35">
      <c r="A67" s="7" t="s">
        <v>189</v>
      </c>
      <c r="B67" s="13">
        <v>16514230</v>
      </c>
      <c r="C67" s="18">
        <v>0.125962809510973</v>
      </c>
    </row>
    <row r="68" spans="1:3" x14ac:dyDescent="0.35">
      <c r="A68" s="4" t="s">
        <v>190</v>
      </c>
      <c r="B68" s="14">
        <v>16526560</v>
      </c>
      <c r="C68" s="17">
        <v>0.21412142731221501</v>
      </c>
    </row>
    <row r="69" spans="1:3" x14ac:dyDescent="0.35">
      <c r="A69" s="7" t="s">
        <v>191</v>
      </c>
      <c r="B69" s="13">
        <v>16698670</v>
      </c>
      <c r="C69" s="18">
        <v>0.123162277909501</v>
      </c>
    </row>
    <row r="70" spans="1:3" x14ac:dyDescent="0.35">
      <c r="A70" s="4" t="s">
        <v>192</v>
      </c>
      <c r="B70" s="14">
        <v>17136160</v>
      </c>
      <c r="C70" s="17">
        <v>9.6955762428546102E-2</v>
      </c>
    </row>
    <row r="71" spans="1:3" x14ac:dyDescent="0.35">
      <c r="A71" s="7" t="s">
        <v>193</v>
      </c>
      <c r="B71" s="13">
        <v>17168455</v>
      </c>
      <c r="C71" s="18">
        <v>0.222976205862816</v>
      </c>
    </row>
    <row r="72" spans="1:3" x14ac:dyDescent="0.35">
      <c r="A72" s="4" t="s">
        <v>194</v>
      </c>
      <c r="B72" s="14">
        <v>17455945</v>
      </c>
      <c r="C72" s="17">
        <v>0.157065694573124</v>
      </c>
    </row>
    <row r="73" spans="1:3" x14ac:dyDescent="0.35">
      <c r="A73" s="7" t="s">
        <v>195</v>
      </c>
      <c r="B73" s="13">
        <v>18497125</v>
      </c>
      <c r="C73" s="18">
        <v>0.21419501630214599</v>
      </c>
    </row>
    <row r="74" spans="1:3" x14ac:dyDescent="0.35">
      <c r="A74" s="4" t="s">
        <v>196</v>
      </c>
      <c r="B74" s="14">
        <v>20004205</v>
      </c>
      <c r="C74" s="17">
        <v>0.16120421859961201</v>
      </c>
    </row>
    <row r="75" spans="1:3" x14ac:dyDescent="0.35">
      <c r="A75" s="7" t="s">
        <v>197</v>
      </c>
      <c r="B75" s="13">
        <v>20707885</v>
      </c>
      <c r="C75" s="18">
        <v>0.16370449925379599</v>
      </c>
    </row>
    <row r="76" spans="1:3" x14ac:dyDescent="0.35">
      <c r="A76" s="4" t="s">
        <v>198</v>
      </c>
      <c r="B76" s="14">
        <v>23303295</v>
      </c>
      <c r="C76" s="17">
        <v>0.17167339868714299</v>
      </c>
    </row>
    <row r="77" spans="1:3" x14ac:dyDescent="0.35">
      <c r="A77" s="7" t="s">
        <v>199</v>
      </c>
      <c r="B77" s="13">
        <v>23783455</v>
      </c>
      <c r="C77" s="18">
        <v>0.12318848354325999</v>
      </c>
    </row>
    <row r="78" spans="1:3" x14ac:dyDescent="0.35">
      <c r="A78" s="4" t="s">
        <v>200</v>
      </c>
      <c r="B78" s="14">
        <v>24367115</v>
      </c>
      <c r="C78" s="17">
        <v>0.182274387575386</v>
      </c>
    </row>
    <row r="79" spans="1:3" x14ac:dyDescent="0.35">
      <c r="A79" s="7" t="s">
        <v>201</v>
      </c>
      <c r="B79" s="13">
        <v>25597465</v>
      </c>
      <c r="C79" s="18">
        <v>0.15950459760101901</v>
      </c>
    </row>
    <row r="80" spans="1:3" x14ac:dyDescent="0.35">
      <c r="A80" s="4" t="s">
        <v>202</v>
      </c>
      <c r="B80" s="14">
        <v>26661650</v>
      </c>
      <c r="C80" s="17">
        <v>8.3536748063834695E-2</v>
      </c>
    </row>
    <row r="81" spans="1:3" x14ac:dyDescent="0.35">
      <c r="A81" s="7" t="s">
        <v>203</v>
      </c>
      <c r="B81" s="13">
        <v>28984950</v>
      </c>
      <c r="C81" s="18">
        <v>0.157594040751041</v>
      </c>
    </row>
    <row r="82" spans="1:3" x14ac:dyDescent="0.35">
      <c r="A82" s="4" t="s">
        <v>204</v>
      </c>
      <c r="B82" s="14">
        <v>33321130</v>
      </c>
      <c r="C82" s="17">
        <v>9.7123874464550702E-2</v>
      </c>
    </row>
    <row r="83" spans="1:3" x14ac:dyDescent="0.35">
      <c r="A83" s="7" t="s">
        <v>205</v>
      </c>
      <c r="B83" s="13">
        <v>34319545</v>
      </c>
      <c r="C83" s="18">
        <v>0.294866701899484</v>
      </c>
    </row>
    <row r="84" spans="1:3" x14ac:dyDescent="0.35">
      <c r="A84" s="4" t="s">
        <v>206</v>
      </c>
      <c r="B84" s="14">
        <v>34859245</v>
      </c>
      <c r="C84" s="17">
        <v>0.192414014797328</v>
      </c>
    </row>
    <row r="85" spans="1:3" x14ac:dyDescent="0.35">
      <c r="A85" s="7" t="s">
        <v>207</v>
      </c>
      <c r="B85" s="13">
        <v>35791705</v>
      </c>
      <c r="C85" s="18">
        <v>0.174467758421542</v>
      </c>
    </row>
    <row r="86" spans="1:3" x14ac:dyDescent="0.35">
      <c r="A86" s="4" t="s">
        <v>208</v>
      </c>
      <c r="B86" s="14">
        <v>38016025</v>
      </c>
      <c r="C86" s="17">
        <v>0.25913049812782202</v>
      </c>
    </row>
    <row r="87" spans="1:3" x14ac:dyDescent="0.35">
      <c r="A87" s="7" t="s">
        <v>209</v>
      </c>
      <c r="B87" s="13">
        <v>38646235</v>
      </c>
      <c r="C87" s="18">
        <v>0.21533700825865301</v>
      </c>
    </row>
    <row r="88" spans="1:3" x14ac:dyDescent="0.35">
      <c r="A88" s="4" t="s">
        <v>210</v>
      </c>
      <c r="B88" s="14">
        <v>38877710</v>
      </c>
      <c r="C88" s="17">
        <v>0.288659134220563</v>
      </c>
    </row>
    <row r="89" spans="1:3" x14ac:dyDescent="0.35">
      <c r="A89" s="7" t="s">
        <v>211</v>
      </c>
      <c r="B89" s="13">
        <v>39465120</v>
      </c>
      <c r="C89" s="18">
        <v>0.188809094948096</v>
      </c>
    </row>
    <row r="90" spans="1:3" x14ac:dyDescent="0.35">
      <c r="A90" s="4" t="s">
        <v>212</v>
      </c>
      <c r="B90" s="14">
        <v>40112955</v>
      </c>
      <c r="C90" s="17">
        <v>0.18267925629670501</v>
      </c>
    </row>
    <row r="91" spans="1:3" x14ac:dyDescent="0.35">
      <c r="A91" s="7" t="s">
        <v>213</v>
      </c>
      <c r="B91" s="13">
        <v>42507425</v>
      </c>
      <c r="C91" s="18">
        <v>5.3333333333333302E-2</v>
      </c>
    </row>
    <row r="92" spans="1:3" x14ac:dyDescent="0.35">
      <c r="A92" s="4" t="s">
        <v>214</v>
      </c>
      <c r="B92" s="14">
        <v>44258160</v>
      </c>
      <c r="C92" s="17">
        <v>0.24350279647713</v>
      </c>
    </row>
    <row r="93" spans="1:3" x14ac:dyDescent="0.35">
      <c r="A93" s="7" t="s">
        <v>215</v>
      </c>
      <c r="B93" s="13">
        <v>45790765</v>
      </c>
      <c r="C93" s="18">
        <v>0.17198453490134399</v>
      </c>
    </row>
    <row r="94" spans="1:3" x14ac:dyDescent="0.35">
      <c r="A94" s="4" t="s">
        <v>216</v>
      </c>
      <c r="B94" s="14">
        <v>46245645</v>
      </c>
      <c r="C94" s="17">
        <v>0.14361087672648301</v>
      </c>
    </row>
    <row r="95" spans="1:3" x14ac:dyDescent="0.35">
      <c r="A95" s="7" t="s">
        <v>217</v>
      </c>
      <c r="B95" s="13">
        <v>46262780</v>
      </c>
      <c r="C95" s="18">
        <v>0.38359592469181503</v>
      </c>
    </row>
    <row r="96" spans="1:3" x14ac:dyDescent="0.35">
      <c r="A96" s="4" t="s">
        <v>218</v>
      </c>
      <c r="B96" s="14">
        <v>46627320</v>
      </c>
      <c r="C96" s="17">
        <v>0.196350713251499</v>
      </c>
    </row>
    <row r="97" spans="1:3" x14ac:dyDescent="0.35">
      <c r="A97" s="7" t="s">
        <v>219</v>
      </c>
      <c r="B97" s="13">
        <v>46895050</v>
      </c>
      <c r="C97" s="18">
        <v>0.18418414999695301</v>
      </c>
    </row>
    <row r="98" spans="1:3" x14ac:dyDescent="0.35">
      <c r="A98" s="4" t="s">
        <v>220</v>
      </c>
      <c r="B98" s="14">
        <v>47060155</v>
      </c>
      <c r="C98" s="17">
        <v>9.6176172575857505E-2</v>
      </c>
    </row>
    <row r="99" spans="1:3" x14ac:dyDescent="0.35">
      <c r="A99" s="7" t="s">
        <v>221</v>
      </c>
      <c r="B99" s="13">
        <v>47269655</v>
      </c>
      <c r="C99" s="18">
        <v>0.121216637312017</v>
      </c>
    </row>
    <row r="100" spans="1:3" x14ac:dyDescent="0.35">
      <c r="A100" s="4" t="s">
        <v>222</v>
      </c>
      <c r="B100" s="14">
        <v>49831195</v>
      </c>
      <c r="C100" s="17">
        <v>0.218856336439608</v>
      </c>
    </row>
    <row r="101" spans="1:3" x14ac:dyDescent="0.35">
      <c r="A101" s="7" t="s">
        <v>223</v>
      </c>
      <c r="B101" s="13">
        <v>56713330</v>
      </c>
      <c r="C101" s="18">
        <v>0.17038971355110299</v>
      </c>
    </row>
    <row r="102" spans="1:3" x14ac:dyDescent="0.35">
      <c r="A102" s="4" t="s">
        <v>224</v>
      </c>
      <c r="B102" s="14">
        <v>56894410</v>
      </c>
      <c r="C102" s="17">
        <v>0.33595872866731402</v>
      </c>
    </row>
    <row r="103" spans="1:3" x14ac:dyDescent="0.35">
      <c r="A103" s="7" t="s">
        <v>225</v>
      </c>
      <c r="B103" s="13">
        <v>58887290</v>
      </c>
      <c r="C103" s="18">
        <v>0.27103258880669501</v>
      </c>
    </row>
    <row r="104" spans="1:3" x14ac:dyDescent="0.35">
      <c r="A104" s="4" t="s">
        <v>226</v>
      </c>
      <c r="B104" s="14">
        <v>62031395</v>
      </c>
      <c r="C104" s="17">
        <v>0.107509443948633</v>
      </c>
    </row>
    <row r="105" spans="1:3" x14ac:dyDescent="0.35">
      <c r="A105" s="7" t="s">
        <v>227</v>
      </c>
      <c r="B105" s="13">
        <v>68504970</v>
      </c>
      <c r="C105" s="18">
        <v>0.25129215011851902</v>
      </c>
    </row>
    <row r="106" spans="1:3" x14ac:dyDescent="0.35">
      <c r="A106" s="4" t="s">
        <v>228</v>
      </c>
      <c r="B106" s="14">
        <v>69977600</v>
      </c>
      <c r="C106" s="17">
        <v>0.16365306943688099</v>
      </c>
    </row>
    <row r="107" spans="1:3" x14ac:dyDescent="0.35">
      <c r="A107" s="7" t="s">
        <v>229</v>
      </c>
      <c r="B107" s="13">
        <v>71152645</v>
      </c>
      <c r="C107" s="18">
        <v>0.35739965293077502</v>
      </c>
    </row>
    <row r="108" spans="1:3" x14ac:dyDescent="0.35">
      <c r="A108" s="4" t="s">
        <v>230</v>
      </c>
      <c r="B108" s="14">
        <v>72097370</v>
      </c>
      <c r="C108" s="17">
        <v>0.30631443563087302</v>
      </c>
    </row>
    <row r="109" spans="1:3" x14ac:dyDescent="0.35">
      <c r="A109" s="7" t="s">
        <v>231</v>
      </c>
      <c r="B109" s="13">
        <v>73689475</v>
      </c>
      <c r="C109" s="18">
        <v>0.29527025591551698</v>
      </c>
    </row>
    <row r="110" spans="1:3" x14ac:dyDescent="0.35">
      <c r="A110" s="4" t="s">
        <v>232</v>
      </c>
      <c r="B110" s="14">
        <v>77338755</v>
      </c>
      <c r="C110" s="17">
        <v>0.228549870374432</v>
      </c>
    </row>
    <row r="111" spans="1:3" x14ac:dyDescent="0.35">
      <c r="A111" s="7" t="s">
        <v>233</v>
      </c>
      <c r="B111" s="13">
        <v>89065060</v>
      </c>
      <c r="C111" s="18">
        <v>0.27474877434947997</v>
      </c>
    </row>
    <row r="112" spans="1:3" x14ac:dyDescent="0.35">
      <c r="A112" s="4" t="s">
        <v>234</v>
      </c>
      <c r="B112" s="14">
        <v>91943165</v>
      </c>
      <c r="C112" s="17">
        <v>0.25712911427197099</v>
      </c>
    </row>
    <row r="113" spans="1:3" x14ac:dyDescent="0.35">
      <c r="A113" s="7" t="s">
        <v>235</v>
      </c>
      <c r="B113" s="13">
        <v>105120790</v>
      </c>
      <c r="C113" s="18">
        <v>0.25417291193916403</v>
      </c>
    </row>
    <row r="114" spans="1:3" x14ac:dyDescent="0.35">
      <c r="A114" s="4" t="s">
        <v>236</v>
      </c>
      <c r="B114" s="14">
        <v>107166080</v>
      </c>
      <c r="C114" s="17">
        <v>0.28939771204357301</v>
      </c>
    </row>
    <row r="115" spans="1:3" x14ac:dyDescent="0.35">
      <c r="A115" s="7" t="s">
        <v>237</v>
      </c>
      <c r="B115" s="13">
        <v>108559410</v>
      </c>
      <c r="C115" s="18">
        <v>0.31455433301409702</v>
      </c>
    </row>
    <row r="116" spans="1:3" x14ac:dyDescent="0.35">
      <c r="A116" s="4" t="s">
        <v>238</v>
      </c>
      <c r="B116" s="14">
        <v>114786595</v>
      </c>
      <c r="C116" s="17">
        <v>0.25477446221926198</v>
      </c>
    </row>
    <row r="117" spans="1:3" x14ac:dyDescent="0.35">
      <c r="A117" s="7" t="s">
        <v>239</v>
      </c>
      <c r="B117" s="13">
        <v>128263985</v>
      </c>
      <c r="C117" s="18">
        <v>0.16132262850277801</v>
      </c>
    </row>
    <row r="118" spans="1:3" x14ac:dyDescent="0.35">
      <c r="A118" s="4" t="s">
        <v>240</v>
      </c>
      <c r="B118" s="14">
        <v>142584200</v>
      </c>
      <c r="C118" s="17">
        <v>0.29176249801742699</v>
      </c>
    </row>
    <row r="119" spans="1:3" x14ac:dyDescent="0.35">
      <c r="A119" s="7" t="s">
        <v>241</v>
      </c>
      <c r="B119" s="13">
        <v>168846935</v>
      </c>
      <c r="C119" s="18">
        <v>0.29106995033673</v>
      </c>
    </row>
    <row r="120" spans="1:3" x14ac:dyDescent="0.35">
      <c r="A120" s="4" t="s">
        <v>242</v>
      </c>
      <c r="B120" s="14">
        <v>176147465</v>
      </c>
      <c r="C120" s="17">
        <v>0.69010561644172097</v>
      </c>
    </row>
    <row r="121" spans="1:3" x14ac:dyDescent="0.35">
      <c r="A121" s="7" t="s">
        <v>243</v>
      </c>
      <c r="B121" s="13">
        <v>192911290</v>
      </c>
      <c r="C121" s="18">
        <v>0.450742646186722</v>
      </c>
    </row>
    <row r="122" spans="1:3" x14ac:dyDescent="0.35">
      <c r="A122" s="4" t="s">
        <v>244</v>
      </c>
      <c r="B122" s="14">
        <v>193883120</v>
      </c>
      <c r="C122" s="17">
        <v>0.30406902640564598</v>
      </c>
    </row>
    <row r="123" spans="1:3" x14ac:dyDescent="0.35">
      <c r="A123" s="7" t="s">
        <v>245</v>
      </c>
      <c r="B123" s="13">
        <v>195240870</v>
      </c>
      <c r="C123" s="18">
        <v>0.39000139995045802</v>
      </c>
    </row>
    <row r="124" spans="1:3" x14ac:dyDescent="0.35">
      <c r="A124" s="4" t="s">
        <v>246</v>
      </c>
      <c r="B124" s="14">
        <v>198301615</v>
      </c>
      <c r="C124" s="17">
        <v>0.70688587814297699</v>
      </c>
    </row>
    <row r="125" spans="1:3" x14ac:dyDescent="0.35">
      <c r="A125" s="7" t="s">
        <v>247</v>
      </c>
      <c r="B125" s="13">
        <v>238053010</v>
      </c>
      <c r="C125" s="18">
        <v>0.268240095973306</v>
      </c>
    </row>
    <row r="126" spans="1:3" x14ac:dyDescent="0.35">
      <c r="A126" s="4" t="s">
        <v>248</v>
      </c>
      <c r="B126" s="14">
        <v>300657220</v>
      </c>
      <c r="C126" s="17">
        <v>0.40612935664593602</v>
      </c>
    </row>
    <row r="127" spans="1:3" x14ac:dyDescent="0.35">
      <c r="A127" s="7" t="s">
        <v>249</v>
      </c>
      <c r="B127" s="13">
        <v>332162635</v>
      </c>
      <c r="C127" s="18">
        <v>0.49545725471959501</v>
      </c>
    </row>
  </sheetData>
  <mergeCells count="3">
    <mergeCell ref="A1:H1"/>
    <mergeCell ref="A2:H2"/>
    <mergeCell ref="A44:C4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2"/>
  <sheetViews>
    <sheetView showGridLines="0" zoomScaleNormal="100" workbookViewId="0">
      <selection activeCell="P21" sqref="P21"/>
    </sheetView>
  </sheetViews>
  <sheetFormatPr defaultColWidth="8.6328125" defaultRowHeight="14.5" x14ac:dyDescent="0.35"/>
  <cols>
    <col min="1" max="1" width="22" customWidth="1"/>
    <col min="2" max="3" width="14" customWidth="1"/>
  </cols>
  <sheetData>
    <row r="1" spans="1:8" ht="33.75" customHeight="1" x14ac:dyDescent="0.35">
      <c r="A1" s="53" t="s">
        <v>250</v>
      </c>
      <c r="B1" s="53"/>
      <c r="C1" s="53"/>
      <c r="D1" s="53"/>
      <c r="E1" s="53"/>
      <c r="F1" s="53"/>
      <c r="G1" s="53"/>
      <c r="H1" s="53"/>
    </row>
    <row r="2" spans="1:8" ht="18" customHeight="1" x14ac:dyDescent="0.35">
      <c r="A2" s="54" t="s">
        <v>251</v>
      </c>
      <c r="B2" s="54"/>
      <c r="C2" s="54"/>
      <c r="D2" s="54"/>
      <c r="E2" s="54"/>
      <c r="F2" s="54"/>
      <c r="G2" s="54"/>
      <c r="H2" s="54"/>
    </row>
    <row r="3" spans="1:8" ht="16.5" x14ac:dyDescent="0.35">
      <c r="A3" s="2" t="s">
        <v>252</v>
      </c>
    </row>
    <row r="4" spans="1:8" x14ac:dyDescent="0.35">
      <c r="A4" s="3" t="s">
        <v>102</v>
      </c>
      <c r="B4" s="3" t="s">
        <v>126</v>
      </c>
      <c r="C4" s="3" t="s">
        <v>52</v>
      </c>
    </row>
    <row r="5" spans="1:8" x14ac:dyDescent="0.35">
      <c r="A5" s="7" t="s">
        <v>253</v>
      </c>
      <c r="B5" s="8">
        <v>5.8</v>
      </c>
      <c r="C5" s="19">
        <v>18.37</v>
      </c>
    </row>
    <row r="6" spans="1:8" x14ac:dyDescent="0.35">
      <c r="A6" s="4" t="s">
        <v>109</v>
      </c>
      <c r="B6" s="5">
        <v>165.25</v>
      </c>
      <c r="C6" s="20">
        <v>15.4</v>
      </c>
    </row>
    <row r="7" spans="1:8" x14ac:dyDescent="0.35">
      <c r="A7" s="7" t="s">
        <v>116</v>
      </c>
      <c r="B7" s="8">
        <v>172.35</v>
      </c>
      <c r="C7" s="19">
        <v>13.54</v>
      </c>
    </row>
    <row r="8" spans="1:8" x14ac:dyDescent="0.35">
      <c r="A8" s="4" t="s">
        <v>254</v>
      </c>
      <c r="B8" s="5">
        <v>12.2</v>
      </c>
      <c r="C8" s="20">
        <v>12.44</v>
      </c>
    </row>
    <row r="9" spans="1:8" x14ac:dyDescent="0.35">
      <c r="A9" s="7" t="s">
        <v>255</v>
      </c>
      <c r="B9" s="8">
        <v>28.55</v>
      </c>
      <c r="C9" s="19">
        <v>12.4</v>
      </c>
    </row>
    <row r="10" spans="1:8" x14ac:dyDescent="0.35">
      <c r="A10" s="4" t="s">
        <v>256</v>
      </c>
      <c r="B10" s="5">
        <v>26</v>
      </c>
      <c r="C10" s="20">
        <v>10.87</v>
      </c>
    </row>
    <row r="11" spans="1:8" x14ac:dyDescent="0.35">
      <c r="A11" s="7" t="s">
        <v>257</v>
      </c>
      <c r="B11" s="8">
        <v>24.1</v>
      </c>
      <c r="C11" s="19">
        <v>10.3</v>
      </c>
    </row>
    <row r="12" spans="1:8" x14ac:dyDescent="0.35">
      <c r="A12" s="4" t="s">
        <v>258</v>
      </c>
      <c r="B12" s="5">
        <v>6</v>
      </c>
      <c r="C12" s="20">
        <v>10.09</v>
      </c>
    </row>
    <row r="13" spans="1:8" x14ac:dyDescent="0.35">
      <c r="A13" s="7" t="s">
        <v>259</v>
      </c>
      <c r="B13" s="8">
        <v>24.65</v>
      </c>
      <c r="C13" s="19">
        <v>10.039999999999999</v>
      </c>
    </row>
    <row r="14" spans="1:8" x14ac:dyDescent="0.35">
      <c r="A14" s="4" t="s">
        <v>260</v>
      </c>
      <c r="B14" s="5">
        <v>27.1</v>
      </c>
      <c r="C14" s="20">
        <v>9.94</v>
      </c>
    </row>
    <row r="16" spans="1:8" ht="16.5" x14ac:dyDescent="0.35">
      <c r="A16" s="2" t="s">
        <v>261</v>
      </c>
    </row>
    <row r="17" spans="1:3" x14ac:dyDescent="0.35">
      <c r="A17" s="3" t="s">
        <v>102</v>
      </c>
      <c r="B17" s="3" t="s">
        <v>126</v>
      </c>
      <c r="C17" s="3" t="s">
        <v>52</v>
      </c>
    </row>
    <row r="18" spans="1:3" x14ac:dyDescent="0.35">
      <c r="A18" s="4" t="s">
        <v>262</v>
      </c>
      <c r="B18" s="5">
        <v>4.95</v>
      </c>
      <c r="C18" s="21">
        <v>-16.809999999999999</v>
      </c>
    </row>
    <row r="19" spans="1:3" x14ac:dyDescent="0.35">
      <c r="A19" s="7" t="s">
        <v>263</v>
      </c>
      <c r="B19" s="8">
        <v>7.8</v>
      </c>
      <c r="C19" s="22">
        <v>-14.75</v>
      </c>
    </row>
    <row r="20" spans="1:3" x14ac:dyDescent="0.35">
      <c r="A20" s="4" t="s">
        <v>264</v>
      </c>
      <c r="B20" s="5">
        <v>91.2</v>
      </c>
      <c r="C20" s="21">
        <v>-12.73</v>
      </c>
    </row>
    <row r="21" spans="1:3" x14ac:dyDescent="0.35">
      <c r="A21" s="7" t="s">
        <v>265</v>
      </c>
      <c r="B21" s="8">
        <v>5.45</v>
      </c>
      <c r="C21" s="22">
        <v>-12.1</v>
      </c>
    </row>
    <row r="22" spans="1:3" x14ac:dyDescent="0.35">
      <c r="A22" s="4" t="s">
        <v>266</v>
      </c>
      <c r="B22" s="5">
        <v>8.5</v>
      </c>
      <c r="C22" s="21">
        <v>-10.53</v>
      </c>
    </row>
    <row r="23" spans="1:3" x14ac:dyDescent="0.35">
      <c r="A23" s="7" t="s">
        <v>267</v>
      </c>
      <c r="B23" s="8">
        <v>4.7</v>
      </c>
      <c r="C23" s="22">
        <v>-9.6199999999999992</v>
      </c>
    </row>
    <row r="24" spans="1:3" x14ac:dyDescent="0.35">
      <c r="A24" s="4" t="s">
        <v>268</v>
      </c>
      <c r="B24" s="5">
        <v>5.95</v>
      </c>
      <c r="C24" s="21">
        <v>-9.16</v>
      </c>
    </row>
    <row r="25" spans="1:3" x14ac:dyDescent="0.35">
      <c r="A25" s="7" t="s">
        <v>269</v>
      </c>
      <c r="B25" s="8">
        <v>5.7</v>
      </c>
      <c r="C25" s="22">
        <v>-8.8000000000000007</v>
      </c>
    </row>
    <row r="26" spans="1:3" x14ac:dyDescent="0.35">
      <c r="A26" s="4" t="s">
        <v>270</v>
      </c>
      <c r="B26" s="5">
        <v>6.5</v>
      </c>
      <c r="C26" s="21">
        <v>-8.4499999999999993</v>
      </c>
    </row>
    <row r="27" spans="1:3" x14ac:dyDescent="0.35">
      <c r="A27" s="7" t="s">
        <v>271</v>
      </c>
      <c r="B27" s="8">
        <v>6.05</v>
      </c>
      <c r="C27" s="22">
        <v>-8.33</v>
      </c>
    </row>
    <row r="29" spans="1:3" x14ac:dyDescent="0.35">
      <c r="A29" s="23" t="s">
        <v>272</v>
      </c>
    </row>
    <row r="30" spans="1:3" x14ac:dyDescent="0.35">
      <c r="A30" s="3" t="s">
        <v>102</v>
      </c>
      <c r="B30" s="3" t="s">
        <v>52</v>
      </c>
    </row>
    <row r="31" spans="1:3" x14ac:dyDescent="0.35">
      <c r="A31" s="7" t="s">
        <v>253</v>
      </c>
      <c r="B31" s="7">
        <v>18.37</v>
      </c>
    </row>
    <row r="32" spans="1:3" x14ac:dyDescent="0.35">
      <c r="A32" s="4" t="s">
        <v>109</v>
      </c>
      <c r="B32" s="4">
        <v>15.4</v>
      </c>
    </row>
    <row r="33" spans="1:2" x14ac:dyDescent="0.35">
      <c r="A33" s="7" t="s">
        <v>116</v>
      </c>
      <c r="B33" s="7">
        <v>13.54</v>
      </c>
    </row>
    <row r="34" spans="1:2" x14ac:dyDescent="0.35">
      <c r="A34" s="4" t="s">
        <v>254</v>
      </c>
      <c r="B34" s="4">
        <v>12.44</v>
      </c>
    </row>
    <row r="35" spans="1:2" x14ac:dyDescent="0.35">
      <c r="A35" s="7" t="s">
        <v>255</v>
      </c>
      <c r="B35" s="7">
        <v>12.4</v>
      </c>
    </row>
    <row r="36" spans="1:2" x14ac:dyDescent="0.35">
      <c r="A36" s="4" t="s">
        <v>256</v>
      </c>
      <c r="B36" s="4">
        <v>10.87</v>
      </c>
    </row>
    <row r="37" spans="1:2" x14ac:dyDescent="0.35">
      <c r="A37" s="7" t="s">
        <v>257</v>
      </c>
      <c r="B37" s="7">
        <v>10.3</v>
      </c>
    </row>
    <row r="38" spans="1:2" x14ac:dyDescent="0.35">
      <c r="A38" s="4" t="s">
        <v>258</v>
      </c>
      <c r="B38" s="4">
        <v>10.09</v>
      </c>
    </row>
    <row r="39" spans="1:2" x14ac:dyDescent="0.35">
      <c r="A39" s="7" t="s">
        <v>259</v>
      </c>
      <c r="B39" s="7">
        <v>10.039999999999999</v>
      </c>
    </row>
    <row r="40" spans="1:2" x14ac:dyDescent="0.35">
      <c r="A40" s="4" t="s">
        <v>260</v>
      </c>
      <c r="B40" s="4">
        <v>9.94</v>
      </c>
    </row>
    <row r="41" spans="1:2" x14ac:dyDescent="0.35">
      <c r="A41" s="7" t="s">
        <v>262</v>
      </c>
      <c r="B41" s="7">
        <v>-16.809999999999999</v>
      </c>
    </row>
    <row r="42" spans="1:2" x14ac:dyDescent="0.35">
      <c r="A42" s="4" t="s">
        <v>263</v>
      </c>
      <c r="B42" s="4">
        <v>-14.75</v>
      </c>
    </row>
    <row r="43" spans="1:2" x14ac:dyDescent="0.35">
      <c r="A43" s="7" t="s">
        <v>264</v>
      </c>
      <c r="B43" s="7">
        <v>-12.73</v>
      </c>
    </row>
    <row r="44" spans="1:2" x14ac:dyDescent="0.35">
      <c r="A44" s="4" t="s">
        <v>265</v>
      </c>
      <c r="B44" s="4">
        <v>-12.1</v>
      </c>
    </row>
    <row r="45" spans="1:2" x14ac:dyDescent="0.35">
      <c r="A45" s="7" t="s">
        <v>266</v>
      </c>
      <c r="B45" s="7">
        <v>-10.53</v>
      </c>
    </row>
    <row r="46" spans="1:2" x14ac:dyDescent="0.35">
      <c r="A46" s="4" t="s">
        <v>267</v>
      </c>
      <c r="B46" s="4">
        <v>-9.6199999999999992</v>
      </c>
    </row>
    <row r="47" spans="1:2" x14ac:dyDescent="0.35">
      <c r="A47" s="7" t="s">
        <v>268</v>
      </c>
      <c r="B47" s="7">
        <v>-9.16</v>
      </c>
    </row>
    <row r="48" spans="1:2" x14ac:dyDescent="0.35">
      <c r="A48" s="4" t="s">
        <v>269</v>
      </c>
      <c r="B48" s="4">
        <v>-8.8000000000000007</v>
      </c>
    </row>
    <row r="49" spans="1:6" x14ac:dyDescent="0.35">
      <c r="A49" s="7" t="s">
        <v>270</v>
      </c>
      <c r="B49" s="7">
        <v>-8.4499999999999993</v>
      </c>
    </row>
    <row r="50" spans="1:6" x14ac:dyDescent="0.35">
      <c r="A50" s="4" t="s">
        <v>271</v>
      </c>
      <c r="B50" s="4">
        <v>-8.33</v>
      </c>
    </row>
    <row r="53" spans="1:6" ht="16.5" x14ac:dyDescent="0.35">
      <c r="A53" s="2" t="s">
        <v>273</v>
      </c>
    </row>
    <row r="54" spans="1:6" x14ac:dyDescent="0.35">
      <c r="A54" s="55" t="s">
        <v>274</v>
      </c>
      <c r="B54" s="55"/>
      <c r="C54" s="55"/>
      <c r="D54" s="55"/>
      <c r="E54" s="55"/>
      <c r="F54" s="55"/>
    </row>
    <row r="55" spans="1:6" x14ac:dyDescent="0.35">
      <c r="E55" s="12" t="s">
        <v>275</v>
      </c>
    </row>
    <row r="56" spans="1:6" x14ac:dyDescent="0.35">
      <c r="A56" s="3" t="s">
        <v>102</v>
      </c>
      <c r="B56" s="3" t="s">
        <v>276</v>
      </c>
      <c r="C56" s="3" t="s">
        <v>89</v>
      </c>
    </row>
    <row r="57" spans="1:6" x14ac:dyDescent="0.35">
      <c r="A57" s="7" t="s">
        <v>277</v>
      </c>
      <c r="B57" s="22">
        <v>-0.45085662759242601</v>
      </c>
      <c r="C57" s="13">
        <v>7227820</v>
      </c>
    </row>
    <row r="58" spans="1:6" x14ac:dyDescent="0.35">
      <c r="A58" s="4" t="s">
        <v>278</v>
      </c>
      <c r="B58" s="21">
        <v>-1.1872146118721401</v>
      </c>
      <c r="C58" s="14">
        <v>18014250</v>
      </c>
    </row>
    <row r="59" spans="1:6" x14ac:dyDescent="0.35">
      <c r="A59" s="7" t="s">
        <v>279</v>
      </c>
      <c r="B59" s="22">
        <v>-5.0717703349282299</v>
      </c>
      <c r="C59" s="13">
        <v>11090840</v>
      </c>
    </row>
    <row r="60" spans="1:6" x14ac:dyDescent="0.35">
      <c r="A60" s="4" t="s">
        <v>280</v>
      </c>
      <c r="B60" s="21">
        <v>-5.0403225806451601</v>
      </c>
      <c r="C60" s="14">
        <v>7073960</v>
      </c>
    </row>
    <row r="61" spans="1:6" x14ac:dyDescent="0.35">
      <c r="A61" s="7" t="s">
        <v>281</v>
      </c>
      <c r="B61" s="22">
        <v>-4.9893842887473498</v>
      </c>
      <c r="C61" s="13">
        <v>7253135</v>
      </c>
    </row>
    <row r="62" spans="1:6" x14ac:dyDescent="0.35">
      <c r="A62" s="4" t="s">
        <v>282</v>
      </c>
      <c r="B62" s="21">
        <v>-4.0223463687150796</v>
      </c>
      <c r="C62" s="14">
        <v>61665575</v>
      </c>
    </row>
    <row r="63" spans="1:6" x14ac:dyDescent="0.35">
      <c r="A63" s="7" t="s">
        <v>283</v>
      </c>
      <c r="B63" s="22">
        <v>-5.0528789659224396</v>
      </c>
      <c r="C63" s="13">
        <v>3716980</v>
      </c>
    </row>
    <row r="64" spans="1:6" x14ac:dyDescent="0.35">
      <c r="A64" s="4" t="s">
        <v>284</v>
      </c>
      <c r="B64" s="21">
        <v>-4.9504950495049496</v>
      </c>
      <c r="C64" s="14">
        <v>4452220</v>
      </c>
    </row>
    <row r="65" spans="1:3" x14ac:dyDescent="0.35">
      <c r="A65" s="7" t="s">
        <v>285</v>
      </c>
      <c r="B65" s="22">
        <v>-5.0781249999999902</v>
      </c>
      <c r="C65" s="13">
        <v>3601890</v>
      </c>
    </row>
    <row r="66" spans="1:3" x14ac:dyDescent="0.35">
      <c r="A66" s="4" t="s">
        <v>160</v>
      </c>
      <c r="B66" s="21">
        <v>-4.9382716049382802</v>
      </c>
      <c r="C66" s="14">
        <v>610932785</v>
      </c>
    </row>
    <row r="67" spans="1:3" x14ac:dyDescent="0.35">
      <c r="A67" s="7" t="s">
        <v>286</v>
      </c>
      <c r="B67" s="22">
        <v>-2.5069637883008302</v>
      </c>
      <c r="C67" s="13">
        <v>137056395</v>
      </c>
    </row>
    <row r="68" spans="1:3" x14ac:dyDescent="0.35">
      <c r="A68" s="4" t="s">
        <v>287</v>
      </c>
      <c r="B68" s="21">
        <v>-5.0824175824175901</v>
      </c>
      <c r="C68" s="14">
        <v>16343235</v>
      </c>
    </row>
    <row r="69" spans="1:3" x14ac:dyDescent="0.35">
      <c r="A69" s="7" t="s">
        <v>288</v>
      </c>
      <c r="B69" s="22">
        <v>-4.9204052098408004</v>
      </c>
      <c r="C69" s="13">
        <v>9430725</v>
      </c>
    </row>
    <row r="70" spans="1:3" x14ac:dyDescent="0.35">
      <c r="A70" s="4" t="s">
        <v>289</v>
      </c>
      <c r="B70" s="21">
        <v>-5.0228310502283202</v>
      </c>
      <c r="C70" s="14">
        <v>26691205</v>
      </c>
    </row>
    <row r="71" spans="1:3" x14ac:dyDescent="0.35">
      <c r="A71" s="7" t="s">
        <v>290</v>
      </c>
      <c r="B71" s="22">
        <v>-4.9679487179487198</v>
      </c>
      <c r="C71" s="13">
        <v>4341620</v>
      </c>
    </row>
    <row r="72" spans="1:3" x14ac:dyDescent="0.35">
      <c r="A72" s="4" t="s">
        <v>291</v>
      </c>
      <c r="B72" s="21">
        <v>-5.0590219224283297</v>
      </c>
      <c r="C72" s="14">
        <v>7037230</v>
      </c>
    </row>
  </sheetData>
  <mergeCells count="3">
    <mergeCell ref="A1:H1"/>
    <mergeCell ref="A2:H2"/>
    <mergeCell ref="A54:F54"/>
  </mergeCells>
  <conditionalFormatting sqref="C5:C14">
    <cfRule type="cellIs" dxfId="3" priority="2" operator="greaterThanOrEqual">
      <formula>0</formula>
    </cfRule>
    <cfRule type="cellIs" dxfId="2" priority="3" operator="lessThan">
      <formula>0</formula>
    </cfRule>
  </conditionalFormatting>
  <conditionalFormatting sqref="C18:C27">
    <cfRule type="cellIs" dxfId="1" priority="4" operator="greaterThanOrEqual">
      <formula>0</formula>
    </cfRule>
    <cfRule type="cellIs" dxfId="0" priority="5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showGridLines="0" zoomScaleNormal="100" workbookViewId="0">
      <selection sqref="A1:F1"/>
    </sheetView>
  </sheetViews>
  <sheetFormatPr defaultColWidth="8.6328125" defaultRowHeight="14.5" x14ac:dyDescent="0.35"/>
  <cols>
    <col min="1" max="1" width="110" customWidth="1"/>
  </cols>
  <sheetData>
    <row r="1" spans="1:6" ht="33.75" customHeight="1" x14ac:dyDescent="0.35">
      <c r="A1" s="53" t="s">
        <v>292</v>
      </c>
      <c r="B1" s="53"/>
      <c r="C1" s="53"/>
      <c r="D1" s="53"/>
      <c r="E1" s="53"/>
      <c r="F1" s="53"/>
    </row>
    <row r="4" spans="1:6" x14ac:dyDescent="0.35">
      <c r="A4" s="56" t="s">
        <v>293</v>
      </c>
      <c r="B4" s="56"/>
      <c r="C4" s="56"/>
      <c r="D4" s="56"/>
      <c r="E4" s="56"/>
      <c r="F4" s="56"/>
    </row>
    <row r="5" spans="1:6" x14ac:dyDescent="0.35">
      <c r="A5" s="56"/>
      <c r="B5" s="56"/>
      <c r="C5" s="56"/>
      <c r="D5" s="56"/>
      <c r="E5" s="56"/>
      <c r="F5" s="56"/>
    </row>
    <row r="6" spans="1:6" x14ac:dyDescent="0.35">
      <c r="A6" s="56" t="s">
        <v>294</v>
      </c>
      <c r="B6" s="56"/>
      <c r="C6" s="56"/>
      <c r="D6" s="56"/>
      <c r="E6" s="56"/>
      <c r="F6" s="56"/>
    </row>
    <row r="7" spans="1:6" x14ac:dyDescent="0.35">
      <c r="A7" s="56" t="s">
        <v>295</v>
      </c>
      <c r="B7" s="56"/>
      <c r="C7" s="56"/>
      <c r="D7" s="56"/>
      <c r="E7" s="56"/>
      <c r="F7" s="56"/>
    </row>
    <row r="8" spans="1:6" x14ac:dyDescent="0.35">
      <c r="A8" s="56" t="s">
        <v>296</v>
      </c>
      <c r="B8" s="56"/>
      <c r="C8" s="56"/>
      <c r="D8" s="56"/>
      <c r="E8" s="56"/>
      <c r="F8" s="56"/>
    </row>
    <row r="9" spans="1:6" x14ac:dyDescent="0.35">
      <c r="A9" s="56" t="s">
        <v>297</v>
      </c>
      <c r="B9" s="56"/>
      <c r="C9" s="56"/>
      <c r="D9" s="56"/>
      <c r="E9" s="56"/>
      <c r="F9" s="56"/>
    </row>
    <row r="10" spans="1:6" x14ac:dyDescent="0.35">
      <c r="A10" s="56" t="s">
        <v>298</v>
      </c>
      <c r="B10" s="56"/>
      <c r="C10" s="56"/>
      <c r="D10" s="56"/>
      <c r="E10" s="56"/>
      <c r="F10" s="56"/>
    </row>
    <row r="11" spans="1:6" x14ac:dyDescent="0.35">
      <c r="A11" s="56" t="s">
        <v>299</v>
      </c>
      <c r="B11" s="56"/>
      <c r="C11" s="56"/>
      <c r="D11" s="56"/>
      <c r="E11" s="56"/>
      <c r="F11" s="56"/>
    </row>
    <row r="12" spans="1:6" x14ac:dyDescent="0.35">
      <c r="A12" s="56" t="s">
        <v>300</v>
      </c>
      <c r="B12" s="56"/>
      <c r="C12" s="56"/>
      <c r="D12" s="56"/>
      <c r="E12" s="56"/>
      <c r="F12" s="56"/>
    </row>
    <row r="13" spans="1:6" x14ac:dyDescent="0.35">
      <c r="A13" s="56"/>
      <c r="B13" s="56"/>
      <c r="C13" s="56"/>
      <c r="D13" s="56"/>
      <c r="E13" s="56"/>
      <c r="F13" s="56"/>
    </row>
    <row r="14" spans="1:6" x14ac:dyDescent="0.35">
      <c r="A14" s="56" t="s">
        <v>301</v>
      </c>
      <c r="B14" s="56"/>
      <c r="C14" s="56"/>
      <c r="D14" s="56"/>
      <c r="E14" s="56"/>
      <c r="F14" s="56"/>
    </row>
    <row r="15" spans="1:6" x14ac:dyDescent="0.35">
      <c r="A15" s="56"/>
      <c r="B15" s="56"/>
      <c r="C15" s="56"/>
      <c r="D15" s="56"/>
      <c r="E15" s="56"/>
      <c r="F15" s="56"/>
    </row>
    <row r="16" spans="1:6" x14ac:dyDescent="0.35">
      <c r="A16" s="56" t="s">
        <v>302</v>
      </c>
      <c r="B16" s="56"/>
      <c r="C16" s="56"/>
      <c r="D16" s="56"/>
      <c r="E16" s="56"/>
      <c r="F16" s="56"/>
    </row>
  </sheetData>
  <mergeCells count="14">
    <mergeCell ref="A1:F1"/>
    <mergeCell ref="A4:F4"/>
    <mergeCell ref="A5:F5"/>
    <mergeCell ref="A6:F6"/>
    <mergeCell ref="A7:F7"/>
    <mergeCell ref="A13:F13"/>
    <mergeCell ref="A14:F14"/>
    <mergeCell ref="A15:F15"/>
    <mergeCell ref="A16:F16"/>
    <mergeCell ref="A8:F8"/>
    <mergeCell ref="A9:F9"/>
    <mergeCell ref="A10:F10"/>
    <mergeCell ref="A11:F11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Yearly Trend &amp; Growth</vt:lpstr>
      <vt:lpstr>Monthly Analysis</vt:lpstr>
      <vt:lpstr>Volatility &amp; Spreads</vt:lpstr>
      <vt:lpstr>Moving Averages</vt:lpstr>
      <vt:lpstr>Volume &amp; Correlation</vt:lpstr>
      <vt:lpstr>Rallies &amp; Corrections</vt:lpstr>
      <vt:lpstr>Notes &amp;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Patel Vedant</cp:lastModifiedBy>
  <cp:revision>1</cp:revision>
  <dcterms:created xsi:type="dcterms:W3CDTF">2026-07-05T09:57:47Z</dcterms:created>
  <dcterms:modified xsi:type="dcterms:W3CDTF">2026-08-10T05:50:05Z</dcterms:modified>
  <dc:language>en-US</dc:language>
</cp:coreProperties>
</file>